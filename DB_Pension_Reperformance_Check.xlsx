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mber check" sheetId="1" state="visible" r:id="rId3"/>
    <sheet name="IIAMT 2012-15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<sst xmlns="http://schemas.openxmlformats.org/spreadsheetml/2006/main" count="28" uniqueCount="28">
  <si>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Reperformance check: liability for ONE member (must match Python)</t>
  </si>
  <si>
    <t xml:space="preserve">Age today</t>
  </si>
  <si>
    <t xml:space="preserve">Liability, Excel (Rs)</t>
  </si>
  <si>
    <t xml:space="preserve">Salary today (Rs)</t>
  </si>
  <si>
    <t xml:space="preserve">Liability, Python (Rs)</t>
  </si>
  <si>
    <t xml:space="preserve">Years of service today</t>
  </si>
  <si>
    <t xml:space="preserve">Difference (Rs)</t>
  </si>
  <si>
    <t xml:space="preserve">Retirement age</t>
  </si>
  <si>
    <t xml:space="preserve">Match?</t>
  </si>
  <si>
    <t xml:space="preserve">Pension accrual per year of service</t>
  </si>
  <si>
    <t xml:space="preserve">Salary growth</t>
  </si>
  <si>
    <t xml:space="preserve">Discount rate</t>
  </si>
  <si>
    <t xml:space="preserve">Pension increase</t>
  </si>
  <si>
    <t xml:space="preserve">Last age in table</t>
  </si>
  <si>
    <t xml:space="preserve">Years to retirement</t>
  </si>
  <si>
    <t xml:space="preserve">Final salary (Rs)</t>
  </si>
  <si>
    <t xml:space="preserve">Yearly pension at retirement (Rs)</t>
  </si>
  <si>
    <t xml:space="preserve">Blue = inputs you can change. Everything else is a live formula.</t>
  </si>
  <si>
    <t xml:space="preserve">Years from now (s)</t>
  </si>
  <si>
    <t xml:space="preserve">Age at s</t>
  </si>
  <si>
    <t xml:space="preserve">Pension payable? (1/0)</t>
  </si>
  <si>
    <t xml:space="preserve">Chance alive at s (from IAI table)</t>
  </si>
  <si>
    <t xml:space="preserve">Expected pension paid (Rs)</t>
  </si>
  <si>
    <t xml:space="preserve">Discount factor</t>
  </si>
  <si>
    <t xml:space="preserve">Present value (Rs)</t>
  </si>
  <si>
    <t xml:space="preserve">Age</t>
  </si>
  <si>
    <t xml:space="preserve">q(x): chance of dying within a year</t>
  </si>
  <si>
    <t xml:space="preserve">l(x): survivors out of 1.0 at age 20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</si>
</sst>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General"/>
    <numFmt numFmtId="167" formatCode="0.0000"/>
    <numFmt numFmtId="168" formatCode="#,##0"/>
    <numFmt numFmtId="169" formatCode="0.0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3"/>
    <col collapsed="false" customWidth="true" hidden="false" outlineLevel="0" max="9" min="9" style="0" width="24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n">
        <v>45</v>
      </c>
      <c r="I3" s="3" t="s">
        <v>2</v>
      </c>
      <c r="J3" s="4" t="n">
        <f aca="false">SUM(G21:G101)</f>
        <v>7315529.96009334</v>
      </c>
    </row>
    <row r="4" customFormat="false" ht="15" hidden="false" customHeight="false" outlineLevel="0" collapsed="false">
      <c r="A4" s="0" t="s">
        <v>3</v>
      </c>
      <c r="B4" s="2" t="n">
        <v>1200000</v>
      </c>
      <c r="I4" s="3" t="s">
        <v>4</v>
      </c>
      <c r="J4" s="4" t="n">
        <v>7315529.96</v>
      </c>
    </row>
    <row r="5" customFormat="false" ht="15" hidden="false" customHeight="false" outlineLevel="0" collapsed="false">
      <c r="A5" s="0" t="s">
        <v>5</v>
      </c>
      <c r="B5" s="2" t="n">
        <v>23</v>
      </c>
      <c r="I5" s="3" t="s">
        <v>6</v>
      </c>
      <c r="J5" s="4" t="n">
        <f aca="false">J3-J4</f>
        <v>9.33362171053886E-005</v>
      </c>
    </row>
    <row r="6" customFormat="false" ht="15" hidden="false" customHeight="false" outlineLevel="0" collapsed="false">
      <c r="A6" s="0" t="s">
        <v>7</v>
      </c>
      <c r="B6" s="2" t="n">
        <v>60</v>
      </c>
      <c r="I6" s="3" t="s">
        <v>8</v>
      </c>
      <c r="J6" s="0" t="str">
        <f aca="false">IF(ABS(J5)&lt;1,"YES","NO")</f>
        <v>YES</v>
      </c>
    </row>
    <row r="7" customFormat="false" ht="15" hidden="false" customHeight="false" outlineLevel="0" collapsed="false">
      <c r="A7" s="0" t="s">
        <v>9</v>
      </c>
      <c r="B7" s="2" t="n">
        <f aca="false">1/60</f>
        <v>0.0166666666666667</v>
      </c>
    </row>
    <row r="8" customFormat="false" ht="15" hidden="false" customHeight="false" outlineLevel="0" collapsed="false">
      <c r="A8" s="0" t="s">
        <v>10</v>
      </c>
      <c r="B8" s="2" t="n">
        <v>0.06</v>
      </c>
    </row>
    <row r="9" customFormat="false" ht="15" hidden="false" customHeight="false" outlineLevel="0" collapsed="false">
      <c r="A9" s="0" t="s">
        <v>11</v>
      </c>
      <c r="B9" s="2" t="n">
        <v>0.07</v>
      </c>
    </row>
    <row r="10" customFormat="false" ht="15" hidden="false" customHeight="false" outlineLevel="0" collapsed="false">
      <c r="A10" s="0" t="s">
        <v>12</v>
      </c>
      <c r="B10" s="2" t="n">
        <v>0</v>
      </c>
    </row>
    <row r="11" customFormat="false" ht="15" hidden="false" customHeight="false" outlineLevel="0" collapsed="false">
      <c r="A11" s="0" t="s">
        <v>13</v>
      </c>
      <c r="B11" s="2" t="n">
        <v>115</v>
      </c>
    </row>
    <row r="14" customFormat="false" ht="15" hidden="false" customHeight="false" outlineLevel="0" collapsed="false">
      <c r="A14" s="3" t="s">
        <v>14</v>
      </c>
      <c r="B14" s="5" t="n">
        <f aca="false">B6-B3</f>
        <v>15</v>
      </c>
    </row>
    <row r="15" customFormat="false" ht="15" hidden="false" customHeight="false" outlineLevel="0" collapsed="false">
      <c r="A15" s="3" t="s">
        <v>15</v>
      </c>
      <c r="B15" s="5" t="n">
        <f aca="false">B4*(1+B8)^B14</f>
        <v>2875869.83171963</v>
      </c>
    </row>
    <row r="16" customFormat="false" ht="15" hidden="false" customHeight="false" outlineLevel="0" collapsed="false">
      <c r="A16" s="3" t="s">
        <v>16</v>
      </c>
      <c r="B16" s="5" t="n">
        <f aca="false">B7*B15*(B5+B14)</f>
        <v>1821384.22675577</v>
      </c>
    </row>
    <row r="18" customFormat="false" ht="15" hidden="false" customHeight="false" outlineLevel="0" collapsed="false">
      <c r="A18" s="0" t="s">
        <v>17</v>
      </c>
    </row>
    <row r="20" customFormat="false" ht="45" hidden="false" customHeight="true" outlineLevel="0" collapsed="false">
      <c r="A20" s="6" t="s">
        <v>18</v>
      </c>
      <c r="B20" s="6" t="s">
        <v>19</v>
      </c>
      <c r="C20" s="6" t="s">
        <v>20</v>
      </c>
      <c r="D20" s="6" t="s">
        <v>21</v>
      </c>
      <c r="E20" s="6" t="s">
        <v>22</v>
      </c>
      <c r="F20" s="6" t="s">
        <v>23</v>
      </c>
      <c r="G20" s="6" t="s">
        <v>24</v>
      </c>
    </row>
    <row r="21" customFormat="false" ht="15" hidden="false" customHeight="false" outlineLevel="0" collapsed="false">
      <c r="A21" s="0" t="n">
        <v>0</v>
      </c>
      <c r="B21" s="0" t="n">
        <f aca="false">$B$3+A21</f>
        <v>45</v>
      </c>
      <c r="C21" s="0" t="n">
        <f aca="false">IF(AND(A21&gt;=$B$14,B21&lt;=$B$11),1,0)</f>
        <v>0</v>
      </c>
      <c r="D21" s="7" t="n">
        <f aca="false">IFERROR(INDEX('IIAMT 2012-15'!$C$2:$C$98,MATCH(B21,'IIAMT 2012-15'!$A$2:$A$98,0))/INDEX('IIAMT 2012-15'!$C$2:$C$98,MATCH($B$3,'IIAMT 2012-15'!$A$2:$A$98,0)),0)</f>
        <v>1</v>
      </c>
      <c r="E21" s="8" t="n">
        <f aca="false">C21*$B$16*(1+$B$10)^(A21-$B$14)*D21</f>
        <v>0</v>
      </c>
      <c r="F21" s="7" t="n">
        <f aca="false">(1+$B$9)^(-A21)</f>
        <v>1</v>
      </c>
      <c r="G21" s="8" t="n">
        <f aca="false">E21*F21</f>
        <v>0</v>
      </c>
    </row>
    <row r="22" customFormat="false" ht="15" hidden="false" customHeight="false" outlineLevel="0" collapsed="false">
      <c r="A22" s="0" t="n">
        <v>1</v>
      </c>
      <c r="B22" s="0" t="n">
        <f aca="false">$B$3+A22</f>
        <v>46</v>
      </c>
      <c r="C22" s="0" t="n">
        <f aca="false">IF(AND(A22&gt;=$B$14,B22&lt;=$B$11),1,0)</f>
        <v>0</v>
      </c>
      <c r="D22" s="7" t="n">
        <f aca="false">IFERROR(INDEX('IIAMT 2012-15'!$C$2:$C$98,MATCH(B22,'IIAMT 2012-15'!$A$2:$A$98,0))/INDEX('IIAMT 2012-15'!$C$2:$C$98,MATCH($B$3,'IIAMT 2012-15'!$A$2:$A$98,0)),0)</f>
        <v>0.998185</v>
      </c>
      <c r="E22" s="8" t="n">
        <f aca="false">C22*$B$16*(1+$B$10)^(A22-$B$14)*D22</f>
        <v>0</v>
      </c>
      <c r="F22" s="7" t="n">
        <f aca="false">(1+$B$9)^(-A22)</f>
        <v>0.934579439252336</v>
      </c>
      <c r="G22" s="8" t="n">
        <f aca="false">E22*F22</f>
        <v>0</v>
      </c>
    </row>
    <row r="23" customFormat="false" ht="15" hidden="false" customHeight="false" outlineLevel="0" collapsed="false">
      <c r="A23" s="0" t="n">
        <v>2</v>
      </c>
      <c r="B23" s="0" t="n">
        <f aca="false">$B$3+A23</f>
        <v>47</v>
      </c>
      <c r="C23" s="0" t="n">
        <f aca="false">IF(AND(A23&gt;=$B$14,B23&lt;=$B$11),1,0)</f>
        <v>0</v>
      </c>
      <c r="D23" s="7" t="n">
        <f aca="false">IFERROR(INDEX('IIAMT 2012-15'!$C$2:$C$98,MATCH(B23,'IIAMT 2012-15'!$A$2:$A$98,0))/INDEX('IIAMT 2012-15'!$C$2:$C$98,MATCH($B$3,'IIAMT 2012-15'!$A$2:$A$98,0)),0)</f>
        <v>0.99622456466</v>
      </c>
      <c r="E23" s="8" t="n">
        <f aca="false">C23*$B$16*(1+$B$10)^(A23-$B$14)*D23</f>
        <v>0</v>
      </c>
      <c r="F23" s="7" t="n">
        <f aca="false">(1+$B$9)^(-A23)</f>
        <v>0.873438728273212</v>
      </c>
      <c r="G23" s="8" t="n">
        <f aca="false">E23*F23</f>
        <v>0</v>
      </c>
    </row>
    <row r="24" customFormat="false" ht="15" hidden="false" customHeight="false" outlineLevel="0" collapsed="false">
      <c r="A24" s="0" t="n">
        <v>3</v>
      </c>
      <c r="B24" s="0" t="n">
        <f aca="false">$B$3+A24</f>
        <v>48</v>
      </c>
      <c r="C24" s="0" t="n">
        <f aca="false">IF(AND(A24&gt;=$B$14,B24&lt;=$B$11),1,0)</f>
        <v>0</v>
      </c>
      <c r="D24" s="7" t="n">
        <f aca="false">IFERROR(INDEX('IIAMT 2012-15'!$C$2:$C$98,MATCH(B24,'IIAMT 2012-15'!$A$2:$A$98,0))/INDEX('IIAMT 2012-15'!$C$2:$C$98,MATCH($B$3,'IIAMT 2012-15'!$A$2:$A$98,0)),0)</f>
        <v>0.994107587460097</v>
      </c>
      <c r="E24" s="8" t="n">
        <f aca="false">C24*$B$16*(1+$B$10)^(A24-$B$14)*D24</f>
        <v>0</v>
      </c>
      <c r="F24" s="7" t="n">
        <f aca="false">(1+$B$9)^(-A24)</f>
        <v>0.816297876890852</v>
      </c>
      <c r="G24" s="8" t="n">
        <f aca="false">E24*F24</f>
        <v>0</v>
      </c>
    </row>
    <row r="25" customFormat="false" ht="15" hidden="false" customHeight="false" outlineLevel="0" collapsed="false">
      <c r="A25" s="0" t="n">
        <v>4</v>
      </c>
      <c r="B25" s="0" t="n">
        <f aca="false">$B$3+A25</f>
        <v>49</v>
      </c>
      <c r="C25" s="0" t="n">
        <f aca="false">IF(AND(A25&gt;=$B$14,B25&lt;=$B$11),1,0)</f>
        <v>0</v>
      </c>
      <c r="D25" s="7" t="n">
        <f aca="false">IFERROR(INDEX('IIAMT 2012-15'!$C$2:$C$98,MATCH(B25,'IIAMT 2012-15'!$A$2:$A$98,0))/INDEX('IIAMT 2012-15'!$C$2:$C$98,MATCH($B$3,'IIAMT 2012-15'!$A$2:$A$98,0)),0)</f>
        <v>0.991819151793764</v>
      </c>
      <c r="E25" s="8" t="n">
        <f aca="false">C25*$B$16*(1+$B$10)^(A25-$B$14)*D25</f>
        <v>0</v>
      </c>
      <c r="F25" s="7" t="n">
        <f aca="false">(1+$B$9)^(-A25)</f>
        <v>0.762895212047525</v>
      </c>
      <c r="G25" s="8" t="n">
        <f aca="false">E25*F25</f>
        <v>0</v>
      </c>
    </row>
    <row r="26" customFormat="false" ht="15" hidden="false" customHeight="false" outlineLevel="0" collapsed="false">
      <c r="A26" s="0" t="n">
        <v>5</v>
      </c>
      <c r="B26" s="0" t="n">
        <f aca="false">$B$3+A26</f>
        <v>50</v>
      </c>
      <c r="C26" s="0" t="n">
        <f aca="false">IF(AND(A26&gt;=$B$14,B26&lt;=$B$11),1,0)</f>
        <v>0</v>
      </c>
      <c r="D26" s="7" t="n">
        <f aca="false">IFERROR(INDEX('IIAMT 2012-15'!$C$2:$C$98,MATCH(B26,'IIAMT 2012-15'!$A$2:$A$98,0))/INDEX('IIAMT 2012-15'!$C$2:$C$98,MATCH($B$3,'IIAMT 2012-15'!$A$2:$A$98,0)),0)</f>
        <v>0.989344563010039</v>
      </c>
      <c r="E26" s="8" t="n">
        <f aca="false">C26*$B$16*(1+$B$10)^(A26-$B$14)*D26</f>
        <v>0</v>
      </c>
      <c r="F26" s="7" t="n">
        <f aca="false">(1+$B$9)^(-A26)</f>
        <v>0.712986179483668</v>
      </c>
      <c r="G26" s="8" t="n">
        <f aca="false">E26*F26</f>
        <v>0</v>
      </c>
    </row>
    <row r="27" customFormat="false" ht="15" hidden="false" customHeight="false" outlineLevel="0" collapsed="false">
      <c r="A27" s="0" t="n">
        <v>6</v>
      </c>
      <c r="B27" s="0" t="n">
        <f aca="false">$B$3+A27</f>
        <v>51</v>
      </c>
      <c r="C27" s="0" t="n">
        <f aca="false">IF(AND(A27&gt;=$B$14,B27&lt;=$B$11),1,0)</f>
        <v>0</v>
      </c>
      <c r="D27" s="7" t="n">
        <f aca="false">IFERROR(INDEX('IIAMT 2012-15'!$C$2:$C$98,MATCH(B27,'IIAMT 2012-15'!$A$2:$A$98,0))/INDEX('IIAMT 2012-15'!$C$2:$C$98,MATCH($B$3,'IIAMT 2012-15'!$A$2:$A$98,0)),0)</f>
        <v>0.986668385967097</v>
      </c>
      <c r="E27" s="8" t="n">
        <f aca="false">C27*$B$16*(1+$B$10)^(A27-$B$14)*D27</f>
        <v>0</v>
      </c>
      <c r="F27" s="7" t="n">
        <f aca="false">(1+$B$9)^(-A27)</f>
        <v>0.666342223816512</v>
      </c>
      <c r="G27" s="8" t="n">
        <f aca="false">E27*F27</f>
        <v>0</v>
      </c>
    </row>
    <row r="28" customFormat="false" ht="15" hidden="false" customHeight="false" outlineLevel="0" collapsed="false">
      <c r="A28" s="0" t="n">
        <v>7</v>
      </c>
      <c r="B28" s="0" t="n">
        <f aca="false">$B$3+A28</f>
        <v>52</v>
      </c>
      <c r="C28" s="0" t="n">
        <f aca="false">IF(AND(A28&gt;=$B$14,B28&lt;=$B$11),1,0)</f>
        <v>0</v>
      </c>
      <c r="D28" s="7" t="n">
        <f aca="false">IFERROR(INDEX('IIAMT 2012-15'!$C$2:$C$98,MATCH(B28,'IIAMT 2012-15'!$A$2:$A$98,0))/INDEX('IIAMT 2012-15'!$C$2:$C$98,MATCH($B$3,'IIAMT 2012-15'!$A$2:$A$98,0)),0)</f>
        <v>0.983771527585897</v>
      </c>
      <c r="E28" s="8" t="n">
        <f aca="false">C28*$B$16*(1+$B$10)^(A28-$B$14)*D28</f>
        <v>0</v>
      </c>
      <c r="F28" s="7" t="n">
        <f aca="false">(1+$B$9)^(-A28)</f>
        <v>0.622749741884591</v>
      </c>
      <c r="G28" s="8" t="n">
        <f aca="false">E28*F28</f>
        <v>0</v>
      </c>
    </row>
    <row r="29" customFormat="false" ht="15" hidden="false" customHeight="false" outlineLevel="0" collapsed="false">
      <c r="A29" s="0" t="n">
        <v>8</v>
      </c>
      <c r="B29" s="0" t="n">
        <f aca="false">$B$3+A29</f>
        <v>53</v>
      </c>
      <c r="C29" s="0" t="n">
        <f aca="false">IF(AND(A29&gt;=$B$14,B29&lt;=$B$11),1,0)</f>
        <v>0</v>
      </c>
      <c r="D29" s="7" t="n">
        <f aca="false">IFERROR(INDEX('IIAMT 2012-15'!$C$2:$C$98,MATCH(B29,'IIAMT 2012-15'!$A$2:$A$98,0))/INDEX('IIAMT 2012-15'!$C$2:$C$98,MATCH($B$3,'IIAMT 2012-15'!$A$2:$A$98,0)),0)</f>
        <v>0.980635263955953</v>
      </c>
      <c r="E29" s="8" t="n">
        <f aca="false">C29*$B$16*(1+$B$10)^(A29-$B$14)*D29</f>
        <v>0</v>
      </c>
      <c r="F29" s="7" t="n">
        <f aca="false">(1+$B$9)^(-A29)</f>
        <v>0.582009104565038</v>
      </c>
      <c r="G29" s="8" t="n">
        <f aca="false">E29*F29</f>
        <v>0</v>
      </c>
    </row>
    <row r="30" customFormat="false" ht="15" hidden="false" customHeight="false" outlineLevel="0" collapsed="false">
      <c r="A30" s="0" t="n">
        <v>9</v>
      </c>
      <c r="B30" s="0" t="n">
        <f aca="false">$B$3+A30</f>
        <v>54</v>
      </c>
      <c r="C30" s="0" t="n">
        <f aca="false">IF(AND(A30&gt;=$B$14,B30&lt;=$B$11),1,0)</f>
        <v>0</v>
      </c>
      <c r="D30" s="7" t="n">
        <f aca="false">IFERROR(INDEX('IIAMT 2012-15'!$C$2:$C$98,MATCH(B30,'IIAMT 2012-15'!$A$2:$A$98,0))/INDEX('IIAMT 2012-15'!$C$2:$C$98,MATCH($B$3,'IIAMT 2012-15'!$A$2:$A$98,0)),0)</f>
        <v>0.97723834340161</v>
      </c>
      <c r="E30" s="8" t="n">
        <f aca="false">C30*$B$16*(1+$B$10)^(A30-$B$14)*D30</f>
        <v>0</v>
      </c>
      <c r="F30" s="7" t="n">
        <f aca="false">(1+$B$9)^(-A30)</f>
        <v>0.543933742584148</v>
      </c>
      <c r="G30" s="8" t="n">
        <f aca="false">E30*F30</f>
        <v>0</v>
      </c>
    </row>
    <row r="31" customFormat="false" ht="15" hidden="false" customHeight="false" outlineLevel="0" collapsed="false">
      <c r="A31" s="0" t="n">
        <v>10</v>
      </c>
      <c r="B31" s="0" t="n">
        <f aca="false">$B$3+A31</f>
        <v>55</v>
      </c>
      <c r="C31" s="0" t="n">
        <f aca="false">IF(AND(A31&gt;=$B$14,B31&lt;=$B$11),1,0)</f>
        <v>0</v>
      </c>
      <c r="D31" s="7" t="n">
        <f aca="false">IFERROR(INDEX('IIAMT 2012-15'!$C$2:$C$98,MATCH(B31,'IIAMT 2012-15'!$A$2:$A$98,0))/INDEX('IIAMT 2012-15'!$C$2:$C$98,MATCH($B$3,'IIAMT 2012-15'!$A$2:$A$98,0)),0)</f>
        <v>0.973556109323673</v>
      </c>
      <c r="E31" s="8" t="n">
        <f aca="false">C31*$B$16*(1+$B$10)^(A31-$B$14)*D31</f>
        <v>0</v>
      </c>
      <c r="F31" s="7" t="n">
        <f aca="false">(1+$B$9)^(-A31)</f>
        <v>0.508349292134718</v>
      </c>
      <c r="G31" s="8" t="n">
        <f aca="false">E31*F31</f>
        <v>0</v>
      </c>
    </row>
    <row r="32" customFormat="false" ht="15" hidden="false" customHeight="false" outlineLevel="0" collapsed="false">
      <c r="A32" s="0" t="n">
        <v>11</v>
      </c>
      <c r="B32" s="0" t="n">
        <f aca="false">$B$3+A32</f>
        <v>56</v>
      </c>
      <c r="C32" s="0" t="n">
        <f aca="false">IF(AND(A32&gt;=$B$14,B32&lt;=$B$11),1,0)</f>
        <v>0</v>
      </c>
      <c r="D32" s="7" t="n">
        <f aca="false">IFERROR(INDEX('IIAMT 2012-15'!$C$2:$C$98,MATCH(B32,'IIAMT 2012-15'!$A$2:$A$98,0))/INDEX('IIAMT 2012-15'!$C$2:$C$98,MATCH($B$3,'IIAMT 2012-15'!$A$2:$A$98,0)),0)</f>
        <v>0.969563555719336</v>
      </c>
      <c r="E32" s="8" t="n">
        <f aca="false">C32*$B$16*(1+$B$10)^(A32-$B$14)*D32</f>
        <v>0</v>
      </c>
      <c r="F32" s="7" t="n">
        <f aca="false">(1+$B$9)^(-A32)</f>
        <v>0.475092796387587</v>
      </c>
      <c r="G32" s="8" t="n">
        <f aca="false">E32*F32</f>
        <v>0</v>
      </c>
    </row>
    <row r="33" customFormat="false" ht="15" hidden="false" customHeight="false" outlineLevel="0" collapsed="false">
      <c r="A33" s="0" t="n">
        <v>12</v>
      </c>
      <c r="B33" s="0" t="n">
        <f aca="false">$B$3+A33</f>
        <v>57</v>
      </c>
      <c r="C33" s="0" t="n">
        <f aca="false">IF(AND(A33&gt;=$B$14,B33&lt;=$B$11),1,0)</f>
        <v>0</v>
      </c>
      <c r="D33" s="7" t="n">
        <f aca="false">IFERROR(INDEX('IIAMT 2012-15'!$C$2:$C$98,MATCH(B33,'IIAMT 2012-15'!$A$2:$A$98,0))/INDEX('IIAMT 2012-15'!$C$2:$C$98,MATCH($B$3,'IIAMT 2012-15'!$A$2:$A$98,0)),0)</f>
        <v>0.965231545752382</v>
      </c>
      <c r="E33" s="8" t="n">
        <f aca="false">C33*$B$16*(1+$B$10)^(A33-$B$14)*D33</f>
        <v>0</v>
      </c>
      <c r="F33" s="7" t="n">
        <f aca="false">(1+$B$9)^(-A33)</f>
        <v>0.444011959240735</v>
      </c>
      <c r="G33" s="8" t="n">
        <f aca="false">E33*F33</f>
        <v>0</v>
      </c>
    </row>
    <row r="34" customFormat="false" ht="15" hidden="false" customHeight="false" outlineLevel="0" collapsed="false">
      <c r="A34" s="0" t="n">
        <v>13</v>
      </c>
      <c r="B34" s="0" t="n">
        <f aca="false">$B$3+A34</f>
        <v>58</v>
      </c>
      <c r="C34" s="0" t="n">
        <f aca="false">IF(AND(A34&gt;=$B$14,B34&lt;=$B$11),1,0)</f>
        <v>0</v>
      </c>
      <c r="D34" s="7" t="n">
        <f aca="false">IFERROR(INDEX('IIAMT 2012-15'!$C$2:$C$98,MATCH(B34,'IIAMT 2012-15'!$A$2:$A$98,0))/INDEX('IIAMT 2012-15'!$C$2:$C$98,MATCH($B$3,'IIAMT 2012-15'!$A$2:$A$98,0)),0)</f>
        <v>0.960529902893022</v>
      </c>
      <c r="E34" s="8" t="n">
        <f aca="false">C34*$B$16*(1+$B$10)^(A34-$B$14)*D34</f>
        <v>0</v>
      </c>
      <c r="F34" s="7" t="n">
        <f aca="false">(1+$B$9)^(-A34)</f>
        <v>0.414964447888537</v>
      </c>
      <c r="G34" s="8" t="n">
        <f aca="false">E34*F34</f>
        <v>0</v>
      </c>
    </row>
    <row r="35" customFormat="false" ht="15" hidden="false" customHeight="false" outlineLevel="0" collapsed="false">
      <c r="A35" s="0" t="n">
        <v>14</v>
      </c>
      <c r="B35" s="0" t="n">
        <f aca="false">$B$3+A35</f>
        <v>59</v>
      </c>
      <c r="C35" s="0" t="n">
        <f aca="false">IF(AND(A35&gt;=$B$14,B35&lt;=$B$11),1,0)</f>
        <v>0</v>
      </c>
      <c r="D35" s="7" t="n">
        <f aca="false">IFERROR(INDEX('IIAMT 2012-15'!$C$2:$C$98,MATCH(B35,'IIAMT 2012-15'!$A$2:$A$98,0))/INDEX('IIAMT 2012-15'!$C$2:$C$98,MATCH($B$3,'IIAMT 2012-15'!$A$2:$A$98,0)),0)</f>
        <v>0.955423725929243</v>
      </c>
      <c r="E35" s="8" t="n">
        <f aca="false">C35*$B$16*(1+$B$10)^(A35-$B$14)*D35</f>
        <v>0</v>
      </c>
      <c r="F35" s="7" t="n">
        <f aca="false">(1+$B$9)^(-A35)</f>
        <v>0.387817241017325</v>
      </c>
      <c r="G35" s="8" t="n">
        <f aca="false">E35*F35</f>
        <v>0</v>
      </c>
    </row>
    <row r="36" customFormat="false" ht="15" hidden="false" customHeight="false" outlineLevel="0" collapsed="false">
      <c r="A36" s="0" t="n">
        <v>15</v>
      </c>
      <c r="B36" s="0" t="n">
        <f aca="false">$B$3+A36</f>
        <v>60</v>
      </c>
      <c r="C36" s="0" t="n">
        <f aca="false">IF(AND(A36&gt;=$B$14,B36&lt;=$B$11),1,0)</f>
        <v>1</v>
      </c>
      <c r="D36" s="7" t="n">
        <f aca="false">IFERROR(INDEX('IIAMT 2012-15'!$C$2:$C$98,MATCH(B36,'IIAMT 2012-15'!$A$2:$A$98,0))/INDEX('IIAMT 2012-15'!$C$2:$C$98,MATCH($B$3,'IIAMT 2012-15'!$A$2:$A$98,0)),0)</f>
        <v>0.949875580352772</v>
      </c>
      <c r="E36" s="8" t="n">
        <f aca="false">C36*$B$16*(1+$B$10)^(A36-$B$14)*D36</f>
        <v>1730088.39943502</v>
      </c>
      <c r="F36" s="7" t="n">
        <f aca="false">(1+$B$9)^(-A36)</f>
        <v>0.362446019642359</v>
      </c>
      <c r="G36" s="8" t="n">
        <f aca="false">E36*F36</f>
        <v>627063.654004643</v>
      </c>
    </row>
    <row r="37" customFormat="false" ht="15" hidden="false" customHeight="false" outlineLevel="0" collapsed="false">
      <c r="A37" s="0" t="n">
        <v>16</v>
      </c>
      <c r="B37" s="0" t="n">
        <f aca="false">$B$3+A37</f>
        <v>61</v>
      </c>
      <c r="C37" s="0" t="n">
        <f aca="false">IF(AND(A37&gt;=$B$14,B37&lt;=$B$11),1,0)</f>
        <v>1</v>
      </c>
      <c r="D37" s="7" t="n">
        <f aca="false">IFERROR(INDEX('IIAMT 2012-15'!$C$2:$C$98,MATCH(B37,'IIAMT 2012-15'!$A$2:$A$98,0))/INDEX('IIAMT 2012-15'!$C$2:$C$98,MATCH($B$3,'IIAMT 2012-15'!$A$2:$A$98,0)),0)</f>
        <v>0.943844820293112</v>
      </c>
      <c r="E37" s="8" t="n">
        <f aca="false">C37*$B$16*(1+$B$10)^(A37-$B$14)*D37</f>
        <v>1719104.068187</v>
      </c>
      <c r="F37" s="7" t="n">
        <f aca="false">(1+$B$9)^(-A37)</f>
        <v>0.338734597796598</v>
      </c>
      <c r="G37" s="8" t="n">
        <f aca="false">E37*F37</f>
        <v>582320.02510782</v>
      </c>
    </row>
    <row r="38" customFormat="false" ht="15" hidden="false" customHeight="false" outlineLevel="0" collapsed="false">
      <c r="A38" s="0" t="n">
        <v>17</v>
      </c>
      <c r="B38" s="0" t="n">
        <f aca="false">$B$3+A38</f>
        <v>62</v>
      </c>
      <c r="C38" s="0" t="n">
        <f aca="false">IF(AND(A38&gt;=$B$14,B38&lt;=$B$11),1,0)</f>
        <v>1</v>
      </c>
      <c r="D38" s="7" t="n">
        <f aca="false">IFERROR(INDEX('IIAMT 2012-15'!$C$2:$C$98,MATCH(B38,'IIAMT 2012-15'!$A$2:$A$98,0))/INDEX('IIAMT 2012-15'!$C$2:$C$98,MATCH($B$3,'IIAMT 2012-15'!$A$2:$A$98,0)),0)</f>
        <v>0.937286986481716</v>
      </c>
      <c r="E38" s="8" t="n">
        <f aca="false">C38*$B$16*(1+$B$10)^(A38-$B$14)*D38</f>
        <v>1707159.73312124</v>
      </c>
      <c r="F38" s="7" t="n">
        <f aca="false">(1+$B$9)^(-A38)</f>
        <v>0.31657439046411</v>
      </c>
      <c r="G38" s="8" t="n">
        <f aca="false">E38*F38</f>
        <v>540443.05193773</v>
      </c>
    </row>
    <row r="39" customFormat="false" ht="15" hidden="false" customHeight="false" outlineLevel="0" collapsed="false">
      <c r="A39" s="0" t="n">
        <v>18</v>
      </c>
      <c r="B39" s="0" t="n">
        <f aca="false">$B$3+A39</f>
        <v>63</v>
      </c>
      <c r="C39" s="0" t="n">
        <f aca="false">IF(AND(A39&gt;=$B$14,B39&lt;=$B$11),1,0)</f>
        <v>1</v>
      </c>
      <c r="D39" s="7" t="n">
        <f aca="false">IFERROR(INDEX('IIAMT 2012-15'!$C$2:$C$98,MATCH(B39,'IIAMT 2012-15'!$A$2:$A$98,0))/INDEX('IIAMT 2012-15'!$C$2:$C$98,MATCH($B$3,'IIAMT 2012-15'!$A$2:$A$98,0)),0)</f>
        <v>0.930152357940617</v>
      </c>
      <c r="E39" s="8" t="n">
        <f aca="false">C39*$B$16*(1+$B$10)^(A39-$B$14)*D39</f>
        <v>1694164.83323272</v>
      </c>
      <c r="F39" s="7" t="n">
        <f aca="false">(1+$B$9)^(-A39)</f>
        <v>0.295863916321598</v>
      </c>
      <c r="G39" s="8" t="n">
        <f aca="false">E39*F39</f>
        <v>501242.24245456</v>
      </c>
    </row>
    <row r="40" customFormat="false" ht="15" hidden="false" customHeight="false" outlineLevel="0" collapsed="false">
      <c r="A40" s="0" t="n">
        <v>19</v>
      </c>
      <c r="B40" s="0" t="n">
        <f aca="false">$B$3+A40</f>
        <v>64</v>
      </c>
      <c r="C40" s="0" t="n">
        <f aca="false">IF(AND(A40&gt;=$B$14,B40&lt;=$B$11),1,0)</f>
        <v>1</v>
      </c>
      <c r="D40" s="7" t="n">
        <f aca="false">IFERROR(INDEX('IIAMT 2012-15'!$C$2:$C$98,MATCH(B40,'IIAMT 2012-15'!$A$2:$A$98,0))/INDEX('IIAMT 2012-15'!$C$2:$C$98,MATCH($B$3,'IIAMT 2012-15'!$A$2:$A$98,0)),0)</f>
        <v>0.922388376208887</v>
      </c>
      <c r="E40" s="8" t="n">
        <f aca="false">C40*$B$16*(1+$B$10)^(A40-$B$14)*D40</f>
        <v>1680023.63936973</v>
      </c>
      <c r="F40" s="7" t="n">
        <f aca="false">(1+$B$9)^(-A40)</f>
        <v>0.276508333010839</v>
      </c>
      <c r="G40" s="8" t="n">
        <f aca="false">E40*F40</f>
        <v>464540.535940927</v>
      </c>
    </row>
    <row r="41" customFormat="false" ht="15" hidden="false" customHeight="false" outlineLevel="0" collapsed="false">
      <c r="A41" s="0" t="n">
        <v>20</v>
      </c>
      <c r="B41" s="0" t="n">
        <f aca="false">$B$3+A41</f>
        <v>65</v>
      </c>
      <c r="C41" s="0" t="n">
        <f aca="false">IF(AND(A41&gt;=$B$14,B41&lt;=$B$11),1,0)</f>
        <v>1</v>
      </c>
      <c r="D41" s="7" t="n">
        <f aca="false">IFERROR(INDEX('IIAMT 2012-15'!$C$2:$C$98,MATCH(B41,'IIAMT 2012-15'!$A$2:$A$98,0))/INDEX('IIAMT 2012-15'!$C$2:$C$98,MATCH($B$3,'IIAMT 2012-15'!$A$2:$A$98,0)),0)</f>
        <v>0.913936531517685</v>
      </c>
      <c r="E41" s="8" t="n">
        <f aca="false">C41*$B$16*(1+$B$10)^(A41-$B$14)*D41</f>
        <v>1664629.58276218</v>
      </c>
      <c r="F41" s="7" t="n">
        <f aca="false">(1+$B$9)^(-A41)</f>
        <v>0.258419002813868</v>
      </c>
      <c r="G41" s="8" t="n">
        <f aca="false">E41*F41</f>
        <v>430171.916831869</v>
      </c>
    </row>
    <row r="42" customFormat="false" ht="15" hidden="false" customHeight="false" outlineLevel="0" collapsed="false">
      <c r="A42" s="0" t="n">
        <v>21</v>
      </c>
      <c r="B42" s="0" t="n">
        <f aca="false">$B$3+A42</f>
        <v>66</v>
      </c>
      <c r="C42" s="0" t="n">
        <f aca="false">IF(AND(A42&gt;=$B$14,B42&lt;=$B$11),1,0)</f>
        <v>1</v>
      </c>
      <c r="D42" s="7" t="n">
        <f aca="false">IFERROR(INDEX('IIAMT 2012-15'!$C$2:$C$98,MATCH(B42,'IIAMT 2012-15'!$A$2:$A$98,0))/INDEX('IIAMT 2012-15'!$C$2:$C$98,MATCH($B$3,'IIAMT 2012-15'!$A$2:$A$98,0)),0)</f>
        <v>0.904733190645301</v>
      </c>
      <c r="E42" s="8" t="n">
        <f aca="false">C42*$B$16*(1+$B$10)^(A42-$B$14)*D42</f>
        <v>1647866.76286377</v>
      </c>
      <c r="F42" s="7" t="n">
        <f aca="false">(1+$B$9)^(-A42)</f>
        <v>0.241513086741933</v>
      </c>
      <c r="G42" s="8" t="n">
        <f aca="false">E42*F42</f>
        <v>397981.388438666</v>
      </c>
    </row>
    <row r="43" customFormat="false" ht="15" hidden="false" customHeight="false" outlineLevel="0" collapsed="false">
      <c r="A43" s="0" t="n">
        <v>22</v>
      </c>
      <c r="B43" s="0" t="n">
        <f aca="false">$B$3+A43</f>
        <v>67</v>
      </c>
      <c r="C43" s="0" t="n">
        <f aca="false">IF(AND(A43&gt;=$B$14,B43&lt;=$B$11),1,0)</f>
        <v>1</v>
      </c>
      <c r="D43" s="7" t="n">
        <f aca="false">IFERROR(INDEX('IIAMT 2012-15'!$C$2:$C$98,MATCH(B43,'IIAMT 2012-15'!$A$2:$A$98,0))/INDEX('IIAMT 2012-15'!$C$2:$C$98,MATCH($B$3,'IIAMT 2012-15'!$A$2:$A$98,0)),0)</f>
        <v>0.894711461092523</v>
      </c>
      <c r="E43" s="8" t="n">
        <f aca="false">C43*$B$16*(1+$B$10)^(A43-$B$14)*D43</f>
        <v>1629613.34273153</v>
      </c>
      <c r="F43" s="7" t="n">
        <f aca="false">(1+$B$9)^(-A43)</f>
        <v>0.225713165179377</v>
      </c>
      <c r="G43" s="8" t="n">
        <f aca="false">E43*F43</f>
        <v>367825.185606477</v>
      </c>
    </row>
    <row r="44" customFormat="false" ht="15" hidden="false" customHeight="false" outlineLevel="0" collapsed="false">
      <c r="A44" s="0" t="n">
        <v>23</v>
      </c>
      <c r="B44" s="0" t="n">
        <f aca="false">$B$3+A44</f>
        <v>68</v>
      </c>
      <c r="C44" s="0" t="n">
        <f aca="false">IF(AND(A44&gt;=$B$14,B44&lt;=$B$11),1,0)</f>
        <v>1</v>
      </c>
      <c r="D44" s="7" t="n">
        <f aca="false">IFERROR(INDEX('IIAMT 2012-15'!$C$2:$C$98,MATCH(B44,'IIAMT 2012-15'!$A$2:$A$98,0))/INDEX('IIAMT 2012-15'!$C$2:$C$98,MATCH($B$3,'IIAMT 2012-15'!$A$2:$A$98,0)),0)</f>
        <v>0.883797770690117</v>
      </c>
      <c r="E44" s="8" t="n">
        <f aca="false">C44*$B$16*(1+$B$10)^(A44-$B$14)*D44</f>
        <v>1609735.31917689</v>
      </c>
      <c r="F44" s="7" t="n">
        <f aca="false">(1+$B$9)^(-A44)</f>
        <v>0.210946883345212</v>
      </c>
      <c r="G44" s="8" t="n">
        <f aca="false">E44*F44</f>
        <v>339568.648591074</v>
      </c>
    </row>
    <row r="45" customFormat="false" ht="15" hidden="false" customHeight="false" outlineLevel="0" collapsed="false">
      <c r="A45" s="0" t="n">
        <v>24</v>
      </c>
      <c r="B45" s="0" t="n">
        <f aca="false">$B$3+A45</f>
        <v>69</v>
      </c>
      <c r="C45" s="0" t="n">
        <f aca="false">IF(AND(A45&gt;=$B$14,B45&lt;=$B$11),1,0)</f>
        <v>1</v>
      </c>
      <c r="D45" s="7" t="n">
        <f aca="false">IFERROR(INDEX('IIAMT 2012-15'!$C$2:$C$98,MATCH(B45,'IIAMT 2012-15'!$A$2:$A$98,0))/INDEX('IIAMT 2012-15'!$C$2:$C$98,MATCH($B$3,'IIAMT 2012-15'!$A$2:$A$98,0)),0)</f>
        <v>0.871913342067647</v>
      </c>
      <c r="E45" s="8" t="n">
        <f aca="false">C45*$B$16*(1+$B$10)^(A45-$B$14)*D45</f>
        <v>1588089.20833992</v>
      </c>
      <c r="F45" s="7" t="n">
        <f aca="false">(1+$B$9)^(-A45)</f>
        <v>0.197146619948796</v>
      </c>
      <c r="G45" s="8" t="n">
        <f aca="false">E45*F45</f>
        <v>313086.419601374</v>
      </c>
    </row>
    <row r="46" customFormat="false" ht="15" hidden="false" customHeight="false" outlineLevel="0" collapsed="false">
      <c r="A46" s="0" t="n">
        <v>25</v>
      </c>
      <c r="B46" s="0" t="n">
        <f aca="false">$B$3+A46</f>
        <v>70</v>
      </c>
      <c r="C46" s="0" t="n">
        <f aca="false">IF(AND(A46&gt;=$B$14,B46&lt;=$B$11),1,0)</f>
        <v>1</v>
      </c>
      <c r="D46" s="7" t="n">
        <f aca="false">IFERROR(INDEX('IIAMT 2012-15'!$C$2:$C$98,MATCH(B46,'IIAMT 2012-15'!$A$2:$A$98,0))/INDEX('IIAMT 2012-15'!$C$2:$C$98,MATCH($B$3,'IIAMT 2012-15'!$A$2:$A$98,0)),0)</f>
        <v>0.858974148071363</v>
      </c>
      <c r="E46" s="8" t="n">
        <f aca="false">C46*$B$16*(1+$B$10)^(A46-$B$14)*D46</f>
        <v>1564521.96448815</v>
      </c>
      <c r="F46" s="7" t="n">
        <f aca="false">(1+$B$9)^(-A46)</f>
        <v>0.184249177522239</v>
      </c>
      <c r="G46" s="8" t="n">
        <f aca="false">E46*F46</f>
        <v>288261.88517242</v>
      </c>
    </row>
    <row r="47" customFormat="false" ht="15" hidden="false" customHeight="false" outlineLevel="0" collapsed="false">
      <c r="A47" s="0" t="n">
        <v>26</v>
      </c>
      <c r="B47" s="0" t="n">
        <f aca="false">$B$3+A47</f>
        <v>71</v>
      </c>
      <c r="C47" s="0" t="n">
        <f aca="false">IF(AND(A47&gt;=$B$14,B47&lt;=$B$11),1,0)</f>
        <v>1</v>
      </c>
      <c r="D47" s="7" t="n">
        <f aca="false">IFERROR(INDEX('IIAMT 2012-15'!$C$2:$C$98,MATCH(B47,'IIAMT 2012-15'!$A$2:$A$98,0))/INDEX('IIAMT 2012-15'!$C$2:$C$98,MATCH($B$3,'IIAMT 2012-15'!$A$2:$A$98,0)),0)</f>
        <v>0.844892984862029</v>
      </c>
      <c r="E47" s="8" t="n">
        <f aca="false">C47*$B$16*(1+$B$10)^(A47-$B$14)*D47</f>
        <v>1538874.7559243</v>
      </c>
      <c r="F47" s="7" t="n">
        <f aca="false">(1+$B$9)^(-A47)</f>
        <v>0.172195493011439</v>
      </c>
      <c r="G47" s="8" t="n">
        <f aca="false">E47*F47</f>
        <v>264987.297279242</v>
      </c>
    </row>
    <row r="48" customFormat="false" ht="15" hidden="false" customHeight="false" outlineLevel="0" collapsed="false">
      <c r="A48" s="0" t="n">
        <v>27</v>
      </c>
      <c r="B48" s="0" t="n">
        <f aca="false">$B$3+A48</f>
        <v>72</v>
      </c>
      <c r="C48" s="0" t="n">
        <f aca="false">IF(AND(A48&gt;=$B$14,B48&lt;=$B$11),1,0)</f>
        <v>1</v>
      </c>
      <c r="D48" s="7" t="n">
        <f aca="false">IFERROR(INDEX('IIAMT 2012-15'!$C$2:$C$98,MATCH(B48,'IIAMT 2012-15'!$A$2:$A$98,0))/INDEX('IIAMT 2012-15'!$C$2:$C$98,MATCH($B$3,'IIAMT 2012-15'!$A$2:$A$98,0)),0)</f>
        <v>0.82957676483245</v>
      </c>
      <c r="E48" s="8" t="n">
        <f aca="false">C48*$B$16*(1+$B$10)^(A48-$B$14)*D48</f>
        <v>1510978.0343489</v>
      </c>
      <c r="F48" s="7" t="n">
        <f aca="false">(1+$B$9)^(-A48)</f>
        <v>0.16093036730041</v>
      </c>
      <c r="G48" s="8" t="n">
        <f aca="false">E48*F48</f>
        <v>243162.25005062</v>
      </c>
    </row>
    <row r="49" customFormat="false" ht="15" hidden="false" customHeight="false" outlineLevel="0" collapsed="false">
      <c r="A49" s="0" t="n">
        <v>28</v>
      </c>
      <c r="B49" s="0" t="n">
        <f aca="false">$B$3+A49</f>
        <v>73</v>
      </c>
      <c r="C49" s="0" t="n">
        <f aca="false">IF(AND(A49&gt;=$B$14,B49&lt;=$B$11),1,0)</f>
        <v>1</v>
      </c>
      <c r="D49" s="7" t="n">
        <f aca="false">IFERROR(INDEX('IIAMT 2012-15'!$C$2:$C$98,MATCH(B49,'IIAMT 2012-15'!$A$2:$A$98,0))/INDEX('IIAMT 2012-15'!$C$2:$C$98,MATCH($B$3,'IIAMT 2012-15'!$A$2:$A$98,0)),0)</f>
        <v>0.812929647892557</v>
      </c>
      <c r="E49" s="8" t="n">
        <f aca="false">C49*$B$16*(1+$B$10)^(A49-$B$14)*D49</f>
        <v>1480657.23813362</v>
      </c>
      <c r="F49" s="7" t="n">
        <f aca="false">(1+$B$9)^(-A49)</f>
        <v>0.15040221243029</v>
      </c>
      <c r="G49" s="8" t="n">
        <f aca="false">E49*F49</f>
        <v>222694.124466219</v>
      </c>
    </row>
    <row r="50" customFormat="false" ht="15" hidden="false" customHeight="false" outlineLevel="0" collapsed="false">
      <c r="A50" s="0" t="n">
        <v>29</v>
      </c>
      <c r="B50" s="0" t="n">
        <f aca="false">$B$3+A50</f>
        <v>74</v>
      </c>
      <c r="C50" s="0" t="n">
        <f aca="false">IF(AND(A50&gt;=$B$14,B50&lt;=$B$11),1,0)</f>
        <v>1</v>
      </c>
      <c r="D50" s="7" t="n">
        <f aca="false">IFERROR(INDEX('IIAMT 2012-15'!$C$2:$C$98,MATCH(B50,'IIAMT 2012-15'!$A$2:$A$98,0))/INDEX('IIAMT 2012-15'!$C$2:$C$98,MATCH($B$3,'IIAMT 2012-15'!$A$2:$A$98,0)),0)</f>
        <v>0.794853344242018</v>
      </c>
      <c r="E50" s="8" t="n">
        <f aca="false">C50*$B$16*(1+$B$10)^(A50-$B$14)*D50</f>
        <v>1447733.34378648</v>
      </c>
      <c r="F50" s="7" t="n">
        <f aca="false">(1+$B$9)^(-A50)</f>
        <v>0.140562815355411</v>
      </c>
      <c r="G50" s="8" t="n">
        <f aca="false">E50*F50</f>
        <v>203497.474686531</v>
      </c>
    </row>
    <row r="51" customFormat="false" ht="15" hidden="false" customHeight="false" outlineLevel="0" collapsed="false">
      <c r="A51" s="0" t="n">
        <v>30</v>
      </c>
      <c r="B51" s="0" t="n">
        <f aca="false">$B$3+A51</f>
        <v>75</v>
      </c>
      <c r="C51" s="0" t="n">
        <f aca="false">IF(AND(A51&gt;=$B$14,B51&lt;=$B$11),1,0)</f>
        <v>1</v>
      </c>
      <c r="D51" s="7" t="n">
        <f aca="false">IFERROR(INDEX('IIAMT 2012-15'!$C$2:$C$98,MATCH(B51,'IIAMT 2012-15'!$A$2:$A$98,0))/INDEX('IIAMT 2012-15'!$C$2:$C$98,MATCH($B$3,'IIAMT 2012-15'!$A$2:$A$98,0)),0)</f>
        <v>0.775250671066322</v>
      </c>
      <c r="E51" s="8" t="n">
        <f aca="false">C51*$B$16*(1+$B$10)^(A51-$B$14)*D51</f>
        <v>1412029.34406202</v>
      </c>
      <c r="F51" s="7" t="n">
        <f aca="false">(1+$B$9)^(-A51)</f>
        <v>0.13136711715459</v>
      </c>
      <c r="G51" s="8" t="n">
        <f aca="false">E51*F51</f>
        <v>185494.224267114</v>
      </c>
    </row>
    <row r="52" customFormat="false" ht="15" hidden="false" customHeight="false" outlineLevel="0" collapsed="false">
      <c r="A52" s="0" t="n">
        <v>31</v>
      </c>
      <c r="B52" s="0" t="n">
        <f aca="false">$B$3+A52</f>
        <v>76</v>
      </c>
      <c r="C52" s="0" t="n">
        <f aca="false">IF(AND(A52&gt;=$B$14,B52&lt;=$B$11),1,0)</f>
        <v>1</v>
      </c>
      <c r="D52" s="7" t="n">
        <f aca="false">IFERROR(INDEX('IIAMT 2012-15'!$C$2:$C$98,MATCH(B52,'IIAMT 2012-15'!$A$2:$A$98,0))/INDEX('IIAMT 2012-15'!$C$2:$C$98,MATCH($B$3,'IIAMT 2012-15'!$A$2:$A$98,0)),0)</f>
        <v>0.754025082943197</v>
      </c>
      <c r="E52" s="8" t="n">
        <f aca="false">C52*$B$16*(1+$B$10)^(A52-$B$14)*D52</f>
        <v>1373369.39265095</v>
      </c>
      <c r="F52" s="7" t="n">
        <f aca="false">(1+$B$9)^(-A52)</f>
        <v>0.122773006686532</v>
      </c>
      <c r="G52" s="8" t="n">
        <f aca="false">E52*F52</f>
        <v>168612.689627014</v>
      </c>
    </row>
    <row r="53" customFormat="false" ht="15" hidden="false" customHeight="false" outlineLevel="0" collapsed="false">
      <c r="A53" s="0" t="n">
        <v>32</v>
      </c>
      <c r="B53" s="0" t="n">
        <f aca="false">$B$3+A53</f>
        <v>77</v>
      </c>
      <c r="C53" s="0" t="n">
        <f aca="false">IF(AND(A53&gt;=$B$14,B53&lt;=$B$11),1,0)</f>
        <v>1</v>
      </c>
      <c r="D53" s="7" t="n">
        <f aca="false">IFERROR(INDEX('IIAMT 2012-15'!$C$2:$C$98,MATCH(B53,'IIAMT 2012-15'!$A$2:$A$98,0))/INDEX('IIAMT 2012-15'!$C$2:$C$98,MATCH($B$3,'IIAMT 2012-15'!$A$2:$A$98,0)),0)</f>
        <v>0.731086131869899</v>
      </c>
      <c r="E53" s="8" t="n">
        <f aca="false">C53*$B$16*(1+$B$10)^(A53-$B$14)*D53</f>
        <v>1331588.74898772</v>
      </c>
      <c r="F53" s="7" t="n">
        <f aca="false">(1+$B$9)^(-A53)</f>
        <v>0.114741127744423</v>
      </c>
      <c r="G53" s="8" t="n">
        <f aca="false">E53*F53</f>
        <v>152787.994750636</v>
      </c>
    </row>
    <row r="54" customFormat="false" ht="15" hidden="false" customHeight="false" outlineLevel="0" collapsed="false">
      <c r="A54" s="0" t="n">
        <v>33</v>
      </c>
      <c r="B54" s="0" t="n">
        <f aca="false">$B$3+A54</f>
        <v>78</v>
      </c>
      <c r="C54" s="0" t="n">
        <f aca="false">IF(AND(A54&gt;=$B$14,B54&lt;=$B$11),1,0)</f>
        <v>1</v>
      </c>
      <c r="D54" s="7" t="n">
        <f aca="false">IFERROR(INDEX('IIAMT 2012-15'!$C$2:$C$98,MATCH(B54,'IIAMT 2012-15'!$A$2:$A$98,0))/INDEX('IIAMT 2012-15'!$C$2:$C$98,MATCH($B$3,'IIAMT 2012-15'!$A$2:$A$98,0)),0)</f>
        <v>0.70635348802874</v>
      </c>
      <c r="E54" s="8" t="n">
        <f aca="false">C54*$B$16*(1+$B$10)^(A54-$B$14)*D54</f>
        <v>1286541.10160946</v>
      </c>
      <c r="F54" s="7" t="n">
        <f aca="false">(1+$B$9)^(-A54)</f>
        <v>0.107234698826563</v>
      </c>
      <c r="G54" s="8" t="n">
        <f aca="false">E54*F54</f>
        <v>137961.847559086</v>
      </c>
    </row>
    <row r="55" customFormat="false" ht="15" hidden="false" customHeight="false" outlineLevel="0" collapsed="false">
      <c r="A55" s="0" t="n">
        <v>34</v>
      </c>
      <c r="B55" s="0" t="n">
        <f aca="false">$B$3+A55</f>
        <v>79</v>
      </c>
      <c r="C55" s="0" t="n">
        <f aca="false">IF(AND(A55&gt;=$B$14,B55&lt;=$B$11),1,0)</f>
        <v>1</v>
      </c>
      <c r="D55" s="7" t="n">
        <f aca="false">IFERROR(INDEX('IIAMT 2012-15'!$C$2:$C$98,MATCH(B55,'IIAMT 2012-15'!$A$2:$A$98,0))/INDEX('IIAMT 2012-15'!$C$2:$C$98,MATCH($B$3,'IIAMT 2012-15'!$A$2:$A$98,0)),0)</f>
        <v>0.67975857285097</v>
      </c>
      <c r="E55" s="8" t="n">
        <f aca="false">C55*$B$16*(1+$B$10)^(A55-$B$14)*D55</f>
        <v>1238101.54259277</v>
      </c>
      <c r="F55" s="7" t="n">
        <f aca="false">(1+$B$9)^(-A55)</f>
        <v>0.100219344697723</v>
      </c>
      <c r="G55" s="8" t="n">
        <f aca="false">E55*F55</f>
        <v>124081.725267887</v>
      </c>
    </row>
    <row r="56" customFormat="false" ht="15" hidden="false" customHeight="false" outlineLevel="0" collapsed="false">
      <c r="A56" s="0" t="n">
        <v>35</v>
      </c>
      <c r="B56" s="0" t="n">
        <f aca="false">$B$3+A56</f>
        <v>80</v>
      </c>
      <c r="C56" s="0" t="n">
        <f aca="false">IF(AND(A56&gt;=$B$14,B56&lt;=$B$11),1,0)</f>
        <v>1</v>
      </c>
      <c r="D56" s="7" t="n">
        <f aca="false">IFERROR(INDEX('IIAMT 2012-15'!$C$2:$C$98,MATCH(B56,'IIAMT 2012-15'!$A$2:$A$98,0))/INDEX('IIAMT 2012-15'!$C$2:$C$98,MATCH($B$3,'IIAMT 2012-15'!$A$2:$A$98,0)),0)</f>
        <v>0.651254936374183</v>
      </c>
      <c r="E56" s="8" t="n">
        <f aca="false">C56*$B$16*(1+$B$10)^(A56-$B$14)*D56</f>
        <v>1186185.46870877</v>
      </c>
      <c r="F56" s="7" t="n">
        <f aca="false">(1+$B$9)^(-A56)</f>
        <v>0.0936629389698343</v>
      </c>
      <c r="G56" s="8" t="n">
        <f aca="false">E56*F56</f>
        <v>111101.617162574</v>
      </c>
    </row>
    <row r="57" customFormat="false" ht="15" hidden="false" customHeight="false" outlineLevel="0" collapsed="false">
      <c r="A57" s="0" t="n">
        <v>36</v>
      </c>
      <c r="B57" s="0" t="n">
        <f aca="false">$B$3+A57</f>
        <v>81</v>
      </c>
      <c r="C57" s="0" t="n">
        <f aca="false">IF(AND(A57&gt;=$B$14,B57&lt;=$B$11),1,0)</f>
        <v>1</v>
      </c>
      <c r="D57" s="7" t="n">
        <f aca="false">IFERROR(INDEX('IIAMT 2012-15'!$C$2:$C$98,MATCH(B57,'IIAMT 2012-15'!$A$2:$A$98,0))/INDEX('IIAMT 2012-15'!$C$2:$C$98,MATCH($B$3,'IIAMT 2012-15'!$A$2:$A$98,0)),0)</f>
        <v>0.620821793197418</v>
      </c>
      <c r="E57" s="8" t="n">
        <f aca="false">C57*$B$16*(1+$B$10)^(A57-$B$14)*D57</f>
        <v>1130755.02175601</v>
      </c>
      <c r="F57" s="7" t="n">
        <f aca="false">(1+$B$9)^(-A57)</f>
        <v>0.0875354569811535</v>
      </c>
      <c r="G57" s="8" t="n">
        <f aca="false">E57*F57</f>
        <v>98981.1575631463</v>
      </c>
    </row>
    <row r="58" customFormat="false" ht="15" hidden="false" customHeight="false" outlineLevel="0" collapsed="false">
      <c r="A58" s="0" t="n">
        <v>37</v>
      </c>
      <c r="B58" s="0" t="n">
        <f aca="false">$B$3+A58</f>
        <v>82</v>
      </c>
      <c r="C58" s="0" t="n">
        <f aca="false">IF(AND(A58&gt;=$B$14,B58&lt;=$B$11),1,0)</f>
        <v>1</v>
      </c>
      <c r="D58" s="7" t="n">
        <f aca="false">IFERROR(INDEX('IIAMT 2012-15'!$C$2:$C$98,MATCH(B58,'IIAMT 2012-15'!$A$2:$A$98,0))/INDEX('IIAMT 2012-15'!$C$2:$C$98,MATCH($B$3,'IIAMT 2012-15'!$A$2:$A$98,0)),0)</f>
        <v>0.588473252841073</v>
      </c>
      <c r="E58" s="8" t="n">
        <f aca="false">C58*$B$16*(1+$B$10)^(A58-$B$14)*D58</f>
        <v>1071835.90059239</v>
      </c>
      <c r="F58" s="7" t="n">
        <f aca="false">(1+$B$9)^(-A58)</f>
        <v>0.0818088383001435</v>
      </c>
      <c r="G58" s="8" t="n">
        <f aca="false">E58*F58</f>
        <v>87685.6498758514</v>
      </c>
    </row>
    <row r="59" customFormat="false" ht="15" hidden="false" customHeight="false" outlineLevel="0" collapsed="false">
      <c r="A59" s="0" t="n">
        <v>38</v>
      </c>
      <c r="B59" s="0" t="n">
        <f aca="false">$B$3+A59</f>
        <v>83</v>
      </c>
      <c r="C59" s="0" t="n">
        <f aca="false">IF(AND(A59&gt;=$B$14,B59&lt;=$B$11),1,0)</f>
        <v>1</v>
      </c>
      <c r="D59" s="7" t="n">
        <f aca="false">IFERROR(INDEX('IIAMT 2012-15'!$C$2:$C$98,MATCH(B59,'IIAMT 2012-15'!$A$2:$A$98,0))/INDEX('IIAMT 2012-15'!$C$2:$C$98,MATCH($B$3,'IIAMT 2012-15'!$A$2:$A$98,0)),0)</f>
        <v>0.55426706807318</v>
      </c>
      <c r="E59" s="8" t="n">
        <f aca="false">C59*$B$16*(1+$B$10)^(A59-$B$14)*D59</f>
        <v>1009533.29519865</v>
      </c>
      <c r="F59" s="7" t="n">
        <f aca="false">(1+$B$9)^(-A59)</f>
        <v>0.0764568582244332</v>
      </c>
      <c r="G59" s="8" t="n">
        <f aca="false">E59*F59</f>
        <v>77185.7440238484</v>
      </c>
    </row>
    <row r="60" customFormat="false" ht="15" hidden="false" customHeight="false" outlineLevel="0" collapsed="false">
      <c r="A60" s="0" t="n">
        <v>39</v>
      </c>
      <c r="B60" s="0" t="n">
        <f aca="false">$B$3+A60</f>
        <v>84</v>
      </c>
      <c r="C60" s="0" t="n">
        <f aca="false">IF(AND(A60&gt;=$B$14,B60&lt;=$B$11),1,0)</f>
        <v>1</v>
      </c>
      <c r="D60" s="7" t="n">
        <f aca="false">IFERROR(INDEX('IIAMT 2012-15'!$C$2:$C$98,MATCH(B60,'IIAMT 2012-15'!$A$2:$A$98,0))/INDEX('IIAMT 2012-15'!$C$2:$C$98,MATCH($B$3,'IIAMT 2012-15'!$A$2:$A$98,0)),0)</f>
        <v>0.518312871901409</v>
      </c>
      <c r="E60" s="8" t="n">
        <f aca="false">C60*$B$16*(1+$B$10)^(A60-$B$14)*D60</f>
        <v>944046.889405708</v>
      </c>
      <c r="F60" s="7" t="n">
        <f aca="false">(1+$B$9)^(-A60)</f>
        <v>0.0714550076863861</v>
      </c>
      <c r="G60" s="8" t="n">
        <f aca="false">E60*F60</f>
        <v>67456.8777387938</v>
      </c>
    </row>
    <row r="61" customFormat="false" ht="15" hidden="false" customHeight="false" outlineLevel="0" collapsed="false">
      <c r="A61" s="0" t="n">
        <v>40</v>
      </c>
      <c r="B61" s="0" t="n">
        <f aca="false">$B$3+A61</f>
        <v>85</v>
      </c>
      <c r="C61" s="0" t="n">
        <f aca="false">IF(AND(A61&gt;=$B$14,B61&lt;=$B$11),1,0)</f>
        <v>1</v>
      </c>
      <c r="D61" s="7" t="n">
        <f aca="false">IFERROR(INDEX('IIAMT 2012-15'!$C$2:$C$98,MATCH(B61,'IIAMT 2012-15'!$A$2:$A$98,0))/INDEX('IIAMT 2012-15'!$C$2:$C$98,MATCH($B$3,'IIAMT 2012-15'!$A$2:$A$98,0)),0)</f>
        <v>0.480781836847028</v>
      </c>
      <c r="E61" s="8" t="n">
        <f aca="false">C61*$B$16*(1+$B$10)^(A61-$B$14)*D61</f>
        <v>875688.454143841</v>
      </c>
      <c r="F61" s="7" t="n">
        <f aca="false">(1+$B$9)^(-A61)</f>
        <v>0.0667803810153141</v>
      </c>
      <c r="G61" s="8" t="n">
        <f aca="false">E61*F61</f>
        <v>58478.8086184371</v>
      </c>
    </row>
    <row r="62" customFormat="false" ht="15" hidden="false" customHeight="false" outlineLevel="0" collapsed="false">
      <c r="A62" s="0" t="n">
        <v>41</v>
      </c>
      <c r="B62" s="0" t="n">
        <f aca="false">$B$3+A62</f>
        <v>86</v>
      </c>
      <c r="C62" s="0" t="n">
        <f aca="false">IF(AND(A62&gt;=$B$14,B62&lt;=$B$11),1,0)</f>
        <v>1</v>
      </c>
      <c r="D62" s="7" t="n">
        <f aca="false">IFERROR(INDEX('IIAMT 2012-15'!$C$2:$C$98,MATCH(B62,'IIAMT 2012-15'!$A$2:$A$98,0))/INDEX('IIAMT 2012-15'!$C$2:$C$98,MATCH($B$3,'IIAMT 2012-15'!$A$2:$A$98,0)),0)</f>
        <v>0.441915433156314</v>
      </c>
      <c r="E62" s="8" t="n">
        <f aca="false">C62*$B$16*(1+$B$10)^(A62-$B$14)*D62</f>
        <v>804897.799510853</v>
      </c>
      <c r="F62" s="7" t="n">
        <f aca="false">(1+$B$9)^(-A62)</f>
        <v>0.0624115710423497</v>
      </c>
      <c r="G62" s="8" t="n">
        <f aca="false">E62*F62</f>
        <v>50234.9361960025</v>
      </c>
    </row>
    <row r="63" customFormat="false" ht="15" hidden="false" customHeight="false" outlineLevel="0" collapsed="false">
      <c r="A63" s="0" t="n">
        <v>42</v>
      </c>
      <c r="B63" s="0" t="n">
        <f aca="false">$B$3+A63</f>
        <v>87</v>
      </c>
      <c r="C63" s="0" t="n">
        <f aca="false">IF(AND(A63&gt;=$B$14,B63&lt;=$B$11),1,0)</f>
        <v>1</v>
      </c>
      <c r="D63" s="7" t="n">
        <f aca="false">IFERROR(INDEX('IIAMT 2012-15'!$C$2:$C$98,MATCH(B63,'IIAMT 2012-15'!$A$2:$A$98,0))/INDEX('IIAMT 2012-15'!$C$2:$C$98,MATCH($B$3,'IIAMT 2012-15'!$A$2:$A$98,0)),0)</f>
        <v>0.402031681483091</v>
      </c>
      <c r="E63" s="8" t="n">
        <f aca="false">C63*$B$16*(1+$B$10)^(A63-$B$14)*D63</f>
        <v>732254.163309399</v>
      </c>
      <c r="F63" s="7" t="n">
        <f aca="false">(1+$B$9)^(-A63)</f>
        <v>0.0583285710676165</v>
      </c>
      <c r="G63" s="8" t="n">
        <f aca="false">E63*F63</f>
        <v>42711.3390041503</v>
      </c>
    </row>
    <row r="64" customFormat="false" ht="15" hidden="false" customHeight="false" outlineLevel="0" collapsed="false">
      <c r="A64" s="0" t="n">
        <v>43</v>
      </c>
      <c r="B64" s="0" t="n">
        <f aca="false">$B$3+A64</f>
        <v>88</v>
      </c>
      <c r="C64" s="0" t="n">
        <f aca="false">IF(AND(A64&gt;=$B$14,B64&lt;=$B$11),1,0)</f>
        <v>1</v>
      </c>
      <c r="D64" s="7" t="n">
        <f aca="false">IFERROR(INDEX('IIAMT 2012-15'!$C$2:$C$98,MATCH(B64,'IIAMT 2012-15'!$A$2:$A$98,0))/INDEX('IIAMT 2012-15'!$C$2:$C$98,MATCH($B$3,'IIAMT 2012-15'!$A$2:$A$98,0)),0)</f>
        <v>0.361528597700395</v>
      </c>
      <c r="E64" s="8" t="n">
        <f aca="false">C64*$B$16*(1+$B$10)^(A64-$B$14)*D64</f>
        <v>658482.48537263</v>
      </c>
      <c r="F64" s="7" t="n">
        <f aca="false">(1+$B$9)^(-A64)</f>
        <v>0.0545126832407631</v>
      </c>
      <c r="G64" s="8" t="n">
        <f aca="false">E64*F64</f>
        <v>35895.6471447086</v>
      </c>
    </row>
    <row r="65" customFormat="false" ht="15" hidden="false" customHeight="false" outlineLevel="0" collapsed="false">
      <c r="A65" s="0" t="n">
        <v>44</v>
      </c>
      <c r="B65" s="0" t="n">
        <f aca="false">$B$3+A65</f>
        <v>89</v>
      </c>
      <c r="C65" s="0" t="n">
        <f aca="false">IF(AND(A65&gt;=$B$14,B65&lt;=$B$11),1,0)</f>
        <v>1</v>
      </c>
      <c r="D65" s="7" t="n">
        <f aca="false">IFERROR(INDEX('IIAMT 2012-15'!$C$2:$C$98,MATCH(B65,'IIAMT 2012-15'!$A$2:$A$98,0))/INDEX('IIAMT 2012-15'!$C$2:$C$98,MATCH($B$3,'IIAMT 2012-15'!$A$2:$A$98,0)),0)</f>
        <v>0.320882660518135</v>
      </c>
      <c r="E65" s="8" t="n">
        <f aca="false">C65*$B$16*(1+$B$10)^(A65-$B$14)*D65</f>
        <v>584450.616507156</v>
      </c>
      <c r="F65" s="7" t="n">
        <f aca="false">(1+$B$9)^(-A65)</f>
        <v>0.0509464329352926</v>
      </c>
      <c r="G65" s="8" t="n">
        <f aca="false">E65*F65</f>
        <v>29775.6741378723</v>
      </c>
    </row>
    <row r="66" customFormat="false" ht="15" hidden="false" customHeight="false" outlineLevel="0" collapsed="false">
      <c r="A66" s="0" t="n">
        <v>45</v>
      </c>
      <c r="B66" s="0" t="n">
        <f aca="false">$B$3+A66</f>
        <v>90</v>
      </c>
      <c r="C66" s="0" t="n">
        <f aca="false">IF(AND(A66&gt;=$B$14,B66&lt;=$B$11),1,0)</f>
        <v>1</v>
      </c>
      <c r="D66" s="7" t="n">
        <f aca="false">IFERROR(INDEX('IIAMT 2012-15'!$C$2:$C$98,MATCH(B66,'IIAMT 2012-15'!$A$2:$A$98,0))/INDEX('IIAMT 2012-15'!$C$2:$C$98,MATCH($B$3,'IIAMT 2012-15'!$A$2:$A$98,0)),0)</f>
        <v>0.280641407827877</v>
      </c>
      <c r="E66" s="8" t="n">
        <f aca="false">C66*$B$16*(1+$B$10)^(A66-$B$14)*D66</f>
        <v>511155.833592227</v>
      </c>
      <c r="F66" s="7" t="n">
        <f aca="false">(1+$B$9)^(-A66)</f>
        <v>0.0476134887245725</v>
      </c>
      <c r="G66" s="8" t="n">
        <f aca="false">E66*F66</f>
        <v>24337.912519243</v>
      </c>
    </row>
    <row r="67" customFormat="false" ht="15" hidden="false" customHeight="false" outlineLevel="0" collapsed="false">
      <c r="A67" s="0" t="n">
        <v>46</v>
      </c>
      <c r="B67" s="0" t="n">
        <f aca="false">$B$3+A67</f>
        <v>91</v>
      </c>
      <c r="C67" s="0" t="n">
        <f aca="false">IF(AND(A67&gt;=$B$14,B67&lt;=$B$11),1,0)</f>
        <v>1</v>
      </c>
      <c r="D67" s="7" t="n">
        <f aca="false">IFERROR(INDEX('IIAMT 2012-15'!$C$2:$C$98,MATCH(B67,'IIAMT 2012-15'!$A$2:$A$98,0))/INDEX('IIAMT 2012-15'!$C$2:$C$98,MATCH($B$3,'IIAMT 2012-15'!$A$2:$A$98,0)),0)</f>
        <v>0.241408300296355</v>
      </c>
      <c r="E67" s="8" t="n">
        <f aca="false">C67*$B$16*(1+$B$10)^(A67-$B$14)*D67</f>
        <v>439697.270367701</v>
      </c>
      <c r="F67" s="7" t="n">
        <f aca="false">(1+$B$9)^(-A67)</f>
        <v>0.0444985875930584</v>
      </c>
      <c r="G67" s="8" t="n">
        <f aca="false">E67*F67</f>
        <v>19565.9074998858</v>
      </c>
    </row>
    <row r="68" customFormat="false" ht="15" hidden="false" customHeight="false" outlineLevel="0" collapsed="false">
      <c r="A68" s="0" t="n">
        <v>47</v>
      </c>
      <c r="B68" s="0" t="n">
        <f aca="false">$B$3+A68</f>
        <v>92</v>
      </c>
      <c r="C68" s="0" t="n">
        <f aca="false">IF(AND(A68&gt;=$B$14,B68&lt;=$B$11),1,0)</f>
        <v>1</v>
      </c>
      <c r="D68" s="7" t="n">
        <f aca="false">IFERROR(INDEX('IIAMT 2012-15'!$C$2:$C$98,MATCH(B68,'IIAMT 2012-15'!$A$2:$A$98,0))/INDEX('IIAMT 2012-15'!$C$2:$C$98,MATCH($B$3,'IIAMT 2012-15'!$A$2:$A$98,0)),0)</f>
        <v>0.203818131040609</v>
      </c>
      <c r="E68" s="8" t="n">
        <f aca="false">C68*$B$16*(1+$B$10)^(A68-$B$14)*D68</f>
        <v>371231.129004205</v>
      </c>
      <c r="F68" s="7" t="n">
        <f aca="false">(1+$B$9)^(-A68)</f>
        <v>0.0415874650402415</v>
      </c>
      <c r="G68" s="8" t="n">
        <f aca="false">E68*F68</f>
        <v>15438.5615993118</v>
      </c>
    </row>
    <row r="69" customFormat="false" ht="15" hidden="false" customHeight="false" outlineLevel="0" collapsed="false">
      <c r="A69" s="0" t="n">
        <v>48</v>
      </c>
      <c r="B69" s="0" t="n">
        <f aca="false">$B$3+A69</f>
        <v>93</v>
      </c>
      <c r="C69" s="0" t="n">
        <f aca="false">IF(AND(A69&gt;=$B$14,B69&lt;=$B$11),1,0)</f>
        <v>1</v>
      </c>
      <c r="D69" s="7" t="n">
        <f aca="false">IFERROR(INDEX('IIAMT 2012-15'!$C$2:$C$98,MATCH(B69,'IIAMT 2012-15'!$A$2:$A$98,0))/INDEX('IIAMT 2012-15'!$C$2:$C$98,MATCH($B$3,'IIAMT 2012-15'!$A$2:$A$98,0)),0)</f>
        <v>0.168504601656513</v>
      </c>
      <c r="E69" s="8" t="n">
        <f aca="false">C69*$B$16*(1+$B$10)^(A69-$B$14)*D69</f>
        <v>306911.623592937</v>
      </c>
      <c r="F69" s="7" t="n">
        <f aca="false">(1+$B$9)^(-A69)</f>
        <v>0.0388667897572351</v>
      </c>
      <c r="G69" s="8" t="n">
        <f aca="false">E69*F69</f>
        <v>11928.6695482383</v>
      </c>
    </row>
    <row r="70" customFormat="false" ht="15" hidden="false" customHeight="false" outlineLevel="0" collapsed="false">
      <c r="A70" s="0" t="n">
        <v>49</v>
      </c>
      <c r="B70" s="0" t="n">
        <f aca="false">$B$3+A70</f>
        <v>94</v>
      </c>
      <c r="C70" s="0" t="n">
        <f aca="false">IF(AND(A70&gt;=$B$14,B70&lt;=$B$11),1,0)</f>
        <v>1</v>
      </c>
      <c r="D70" s="7" t="n">
        <f aca="false">IFERROR(INDEX('IIAMT 2012-15'!$C$2:$C$98,MATCH(B70,'IIAMT 2012-15'!$A$2:$A$98,0))/INDEX('IIAMT 2012-15'!$C$2:$C$98,MATCH($B$3,'IIAMT 2012-15'!$A$2:$A$98,0)),0)</f>
        <v>0.136059377616755</v>
      </c>
      <c r="E70" s="8" t="n">
        <f aca="false">C70*$B$16*(1+$B$10)^(A70-$B$14)*D70</f>
        <v>247816.404293364</v>
      </c>
      <c r="F70" s="7" t="n">
        <f aca="false">(1+$B$9)^(-A70)</f>
        <v>0.0363241025768552</v>
      </c>
      <c r="G70" s="8" t="n">
        <f aca="false">E70*F70</f>
        <v>9001.70848977957</v>
      </c>
    </row>
    <row r="71" customFormat="false" ht="15" hidden="false" customHeight="false" outlineLevel="0" collapsed="false">
      <c r="A71" s="0" t="n">
        <v>50</v>
      </c>
      <c r="B71" s="0" t="n">
        <f aca="false">$B$3+A71</f>
        <v>95</v>
      </c>
      <c r="C71" s="0" t="n">
        <f aca="false">IF(AND(A71&gt;=$B$14,B71&lt;=$B$11),1,0)</f>
        <v>1</v>
      </c>
      <c r="D71" s="7" t="n">
        <f aca="false">IFERROR(INDEX('IIAMT 2012-15'!$C$2:$C$98,MATCH(B71,'IIAMT 2012-15'!$A$2:$A$98,0))/INDEX('IIAMT 2012-15'!$C$2:$C$98,MATCH($B$3,'IIAMT 2012-15'!$A$2:$A$98,0)),0)</f>
        <v>0.10698716222325</v>
      </c>
      <c r="E71" s="8" t="n">
        <f aca="false">C71*$B$16*(1+$B$10)^(A71-$B$14)*D71</f>
        <v>194864.729738788</v>
      </c>
      <c r="F71" s="7" t="n">
        <f aca="false">(1+$B$9)^(-A71)</f>
        <v>0.0339477594176217</v>
      </c>
      <c r="G71" s="8" t="n">
        <f aca="false">E71*F71</f>
        <v>6615.22096415224</v>
      </c>
    </row>
    <row r="72" customFormat="false" ht="15" hidden="false" customHeight="false" outlineLevel="0" collapsed="false">
      <c r="A72" s="0" t="n">
        <v>51</v>
      </c>
      <c r="B72" s="0" t="n">
        <f aca="false">$B$3+A72</f>
        <v>96</v>
      </c>
      <c r="C72" s="0" t="n">
        <f aca="false">IF(AND(A72&gt;=$B$14,B72&lt;=$B$11),1,0)</f>
        <v>1</v>
      </c>
      <c r="D72" s="7" t="n">
        <f aca="false">IFERROR(INDEX('IIAMT 2012-15'!$C$2:$C$98,MATCH(B72,'IIAMT 2012-15'!$A$2:$A$98,0))/INDEX('IIAMT 2012-15'!$C$2:$C$98,MATCH($B$3,'IIAMT 2012-15'!$A$2:$A$98,0)),0)</f>
        <v>0.0816612681689246</v>
      </c>
      <c r="E72" s="8" t="n">
        <f aca="false">C72*$B$16*(1+$B$10)^(A72-$B$14)*D72</f>
        <v>148736.545779752</v>
      </c>
      <c r="F72" s="7" t="n">
        <f aca="false">(1+$B$9)^(-A72)</f>
        <v>0.0317268779603941</v>
      </c>
      <c r="G72" s="8" t="n">
        <f aca="false">E72*F72</f>
        <v>4718.94623620476</v>
      </c>
    </row>
    <row r="73" customFormat="false" ht="15" hidden="false" customHeight="false" outlineLevel="0" collapsed="false">
      <c r="A73" s="0" t="n">
        <v>52</v>
      </c>
      <c r="B73" s="0" t="n">
        <f aca="false">$B$3+A73</f>
        <v>97</v>
      </c>
      <c r="C73" s="0" t="n">
        <f aca="false">IF(AND(A73&gt;=$B$14,B73&lt;=$B$11),1,0)</f>
        <v>1</v>
      </c>
      <c r="D73" s="7" t="n">
        <f aca="false">IFERROR(INDEX('IIAMT 2012-15'!$C$2:$C$98,MATCH(B73,'IIAMT 2012-15'!$A$2:$A$98,0))/INDEX('IIAMT 2012-15'!$C$2:$C$98,MATCH($B$3,'IIAMT 2012-15'!$A$2:$A$98,0)),0)</f>
        <v>0.0602865128869767</v>
      </c>
      <c r="E73" s="8" t="n">
        <f aca="false">C73*$B$16*(1+$B$10)^(A73-$B$14)*D73</f>
        <v>109804.903658448</v>
      </c>
      <c r="F73" s="7" t="n">
        <f aca="false">(1+$B$9)^(-A73)</f>
        <v>0.0296512878134524</v>
      </c>
      <c r="G73" s="8" t="n">
        <f aca="false">E73*F73</f>
        <v>3255.85680170504</v>
      </c>
    </row>
    <row r="74" customFormat="false" ht="15" hidden="false" customHeight="false" outlineLevel="0" collapsed="false">
      <c r="A74" s="0" t="n">
        <v>53</v>
      </c>
      <c r="B74" s="0" t="n">
        <f aca="false">$B$3+A74</f>
        <v>98</v>
      </c>
      <c r="C74" s="0" t="n">
        <f aca="false">IF(AND(A74&gt;=$B$14,B74&lt;=$B$11),1,0)</f>
        <v>1</v>
      </c>
      <c r="D74" s="7" t="n">
        <f aca="false">IFERROR(INDEX('IIAMT 2012-15'!$C$2:$C$98,MATCH(B74,'IIAMT 2012-15'!$A$2:$A$98,0))/INDEX('IIAMT 2012-15'!$C$2:$C$98,MATCH($B$3,'IIAMT 2012-15'!$A$2:$A$98,0)),0)</f>
        <v>0.0428753459596276</v>
      </c>
      <c r="E74" s="8" t="n">
        <f aca="false">C74*$B$16*(1+$B$10)^(A74-$B$14)*D74</f>
        <v>78092.4788475623</v>
      </c>
      <c r="F74" s="7" t="n">
        <f aca="false">(1+$B$9)^(-A74)</f>
        <v>0.027711483937806</v>
      </c>
      <c r="G74" s="8" t="n">
        <f aca="false">E74*F74</f>
        <v>2164.05847324768</v>
      </c>
    </row>
    <row r="75" customFormat="false" ht="15" hidden="false" customHeight="false" outlineLevel="0" collapsed="false">
      <c r="A75" s="0" t="n">
        <v>54</v>
      </c>
      <c r="B75" s="0" t="n">
        <f aca="false">$B$3+A75</f>
        <v>99</v>
      </c>
      <c r="C75" s="0" t="n">
        <f aca="false">IF(AND(A75&gt;=$B$14,B75&lt;=$B$11),1,0)</f>
        <v>1</v>
      </c>
      <c r="D75" s="7" t="n">
        <f aca="false">IFERROR(INDEX('IIAMT 2012-15'!$C$2:$C$98,MATCH(B75,'IIAMT 2012-15'!$A$2:$A$98,0))/INDEX('IIAMT 2012-15'!$C$2:$C$98,MATCH($B$3,'IIAMT 2012-15'!$A$2:$A$98,0)),0)</f>
        <v>0.0292450162269863</v>
      </c>
      <c r="E75" s="8" t="n">
        <f aca="false">C75*$B$16*(1+$B$10)^(A75-$B$14)*D75</f>
        <v>53266.4112670492</v>
      </c>
      <c r="F75" s="7" t="n">
        <f aca="false">(1+$B$9)^(-A75)</f>
        <v>0.0258985831194449</v>
      </c>
      <c r="G75" s="8" t="n">
        <f aca="false">E75*F75</f>
        <v>1379.52457967421</v>
      </c>
    </row>
    <row r="76" customFormat="false" ht="15" hidden="false" customHeight="false" outlineLevel="0" collapsed="false">
      <c r="A76" s="0" t="n">
        <v>55</v>
      </c>
      <c r="B76" s="0" t="n">
        <f aca="false">$B$3+A76</f>
        <v>100</v>
      </c>
      <c r="C76" s="0" t="n">
        <f aca="false">IF(AND(A76&gt;=$B$14,B76&lt;=$B$11),1,0)</f>
        <v>1</v>
      </c>
      <c r="D76" s="7" t="n">
        <f aca="false">IFERROR(INDEX('IIAMT 2012-15'!$C$2:$C$98,MATCH(B76,'IIAMT 2012-15'!$A$2:$A$98,0))/INDEX('IIAMT 2012-15'!$C$2:$C$98,MATCH($B$3,'IIAMT 2012-15'!$A$2:$A$98,0)),0)</f>
        <v>0.019037598968265</v>
      </c>
      <c r="E76" s="8" t="n">
        <f aca="false">C76*$B$16*(1+$B$10)^(A76-$B$14)*D76</f>
        <v>34674.7824760997</v>
      </c>
      <c r="F76" s="7" t="n">
        <f aca="false">(1+$B$9)^(-A76)</f>
        <v>0.0242042832892008</v>
      </c>
      <c r="G76" s="8" t="n">
        <f aca="false">E76*F76</f>
        <v>839.278258042933</v>
      </c>
    </row>
    <row r="77" customFormat="false" ht="15" hidden="false" customHeight="false" outlineLevel="0" collapsed="false">
      <c r="A77" s="0" t="n">
        <v>56</v>
      </c>
      <c r="B77" s="0" t="n">
        <f aca="false">$B$3+A77</f>
        <v>101</v>
      </c>
      <c r="C77" s="0" t="n">
        <f aca="false">IF(AND(A77&gt;=$B$14,B77&lt;=$B$11),1,0)</f>
        <v>1</v>
      </c>
      <c r="D77" s="7" t="n">
        <f aca="false">IFERROR(INDEX('IIAMT 2012-15'!$C$2:$C$98,MATCH(B77,'IIAMT 2012-15'!$A$2:$A$98,0))/INDEX('IIAMT 2012-15'!$C$2:$C$98,MATCH($B$3,'IIAMT 2012-15'!$A$2:$A$98,0)),0)</f>
        <v>0.0117627803121209</v>
      </c>
      <c r="E77" s="8" t="n">
        <f aca="false">C77*$B$16*(1+$B$10)^(A77-$B$14)*D77</f>
        <v>21424.5425232902</v>
      </c>
      <c r="F77" s="7" t="n">
        <f aca="false">(1+$B$9)^(-A77)</f>
        <v>0.022620825503926</v>
      </c>
      <c r="G77" s="8" t="n">
        <f aca="false">E77*F77</f>
        <v>484.64083792079</v>
      </c>
    </row>
    <row r="78" customFormat="false" ht="15" hidden="false" customHeight="false" outlineLevel="0" collapsed="false">
      <c r="A78" s="0" t="n">
        <v>57</v>
      </c>
      <c r="B78" s="0" t="n">
        <f aca="false">$B$3+A78</f>
        <v>102</v>
      </c>
      <c r="C78" s="0" t="n">
        <f aca="false">IF(AND(A78&gt;=$B$14,B78&lt;=$B$11),1,0)</f>
        <v>1</v>
      </c>
      <c r="D78" s="7" t="n">
        <f aca="false">IFERROR(INDEX('IIAMT 2012-15'!$C$2:$C$98,MATCH(B78,'IIAMT 2012-15'!$A$2:$A$98,0))/INDEX('IIAMT 2012-15'!$C$2:$C$98,MATCH($B$3,'IIAMT 2012-15'!$A$2:$A$98,0)),0)</f>
        <v>0.00685639525335182</v>
      </c>
      <c r="E78" s="8" t="n">
        <f aca="false">C78*$B$16*(1+$B$10)^(A78-$B$14)*D78</f>
        <v>12488.1301668581</v>
      </c>
      <c r="F78" s="7" t="n">
        <f aca="false">(1+$B$9)^(-A78)</f>
        <v>0.0211409584148841</v>
      </c>
      <c r="G78" s="8" t="n">
        <f aca="false">E78*F78</f>
        <v>264.011040537207</v>
      </c>
    </row>
    <row r="79" customFormat="false" ht="15" hidden="false" customHeight="false" outlineLevel="0" collapsed="false">
      <c r="A79" s="0" t="n">
        <v>58</v>
      </c>
      <c r="B79" s="0" t="n">
        <f aca="false">$B$3+A79</f>
        <v>103</v>
      </c>
      <c r="C79" s="0" t="n">
        <f aca="false">IF(AND(A79&gt;=$B$14,B79&lt;=$B$11),1,0)</f>
        <v>1</v>
      </c>
      <c r="D79" s="7" t="n">
        <f aca="false">IFERROR(INDEX('IIAMT 2012-15'!$C$2:$C$98,MATCH(B79,'IIAMT 2012-15'!$A$2:$A$98,0))/INDEX('IIAMT 2012-15'!$C$2:$C$98,MATCH($B$3,'IIAMT 2012-15'!$A$2:$A$98,0)),0)</f>
        <v>0.00374461341122284</v>
      </c>
      <c r="E79" s="8" t="n">
        <f aca="false">C79*$B$16*(1+$B$10)^(A79-$B$14)*D79</f>
        <v>6820.37980249939</v>
      </c>
      <c r="F79" s="7" t="n">
        <f aca="false">(1+$B$9)^(-A79)</f>
        <v>0.0197579050606393</v>
      </c>
      <c r="G79" s="8" t="n">
        <f aca="false">E79*F79</f>
        <v>134.756416615285</v>
      </c>
    </row>
    <row r="80" customFormat="false" ht="15" hidden="false" customHeight="false" outlineLevel="0" collapsed="false">
      <c r="A80" s="0" t="n">
        <v>59</v>
      </c>
      <c r="B80" s="0" t="n">
        <f aca="false">$B$3+A80</f>
        <v>104</v>
      </c>
      <c r="C80" s="0" t="n">
        <f aca="false">IF(AND(A80&gt;=$B$14,B80&lt;=$B$11),1,0)</f>
        <v>1</v>
      </c>
      <c r="D80" s="7" t="n">
        <f aca="false">IFERROR(INDEX('IIAMT 2012-15'!$C$2:$C$98,MATCH(B80,'IIAMT 2012-15'!$A$2:$A$98,0))/INDEX('IIAMT 2012-15'!$C$2:$C$98,MATCH($B$3,'IIAMT 2012-15'!$A$2:$A$98,0)),0)</f>
        <v>0.00190155213635307</v>
      </c>
      <c r="E80" s="8" t="n">
        <f aca="false">C80*$B$16*(1+$B$10)^(A80-$B$14)*D80</f>
        <v>3463.45706750722</v>
      </c>
      <c r="F80" s="7" t="n">
        <f aca="false">(1+$B$9)^(-A80)</f>
        <v>0.0184653318323732</v>
      </c>
      <c r="G80" s="8" t="n">
        <f aca="false">E80*F80</f>
        <v>63.9538840386989</v>
      </c>
    </row>
    <row r="81" customFormat="false" ht="15" hidden="false" customHeight="false" outlineLevel="0" collapsed="false">
      <c r="A81" s="0" t="n">
        <v>60</v>
      </c>
      <c r="B81" s="0" t="n">
        <f aca="false">$B$3+A81</f>
        <v>105</v>
      </c>
      <c r="C81" s="0" t="n">
        <f aca="false">IF(AND(A81&gt;=$B$14,B81&lt;=$B$11),1,0)</f>
        <v>1</v>
      </c>
      <c r="D81" s="7" t="n">
        <f aca="false">IFERROR(INDEX('IIAMT 2012-15'!$C$2:$C$98,MATCH(B81,'IIAMT 2012-15'!$A$2:$A$98,0))/INDEX('IIAMT 2012-15'!$C$2:$C$98,MATCH($B$3,'IIAMT 2012-15'!$A$2:$A$98,0)),0)</f>
        <v>0.000890053803806374</v>
      </c>
      <c r="E81" s="8" t="n">
        <f aca="false">C81*$B$16*(1+$B$10)^(A81-$B$14)*D81</f>
        <v>1621.1299592169</v>
      </c>
      <c r="F81" s="7" t="n">
        <f aca="false">(1+$B$9)^(-A81)</f>
        <v>0.0172573194695077</v>
      </c>
      <c r="G81" s="8" t="n">
        <f aca="false">E81*F81</f>
        <v>27.976357607796</v>
      </c>
    </row>
    <row r="82" customFormat="false" ht="15" hidden="false" customHeight="false" outlineLevel="0" collapsed="false">
      <c r="A82" s="0" t="n">
        <v>61</v>
      </c>
      <c r="B82" s="0" t="n">
        <f aca="false">$B$3+A82</f>
        <v>106</v>
      </c>
      <c r="C82" s="0" t="n">
        <f aca="false">IF(AND(A82&gt;=$B$14,B82&lt;=$B$11),1,0)</f>
        <v>1</v>
      </c>
      <c r="D82" s="7" t="n">
        <f aca="false">IFERROR(INDEX('IIAMT 2012-15'!$C$2:$C$98,MATCH(B82,'IIAMT 2012-15'!$A$2:$A$98,0))/INDEX('IIAMT 2012-15'!$C$2:$C$98,MATCH($B$3,'IIAMT 2012-15'!$A$2:$A$98,0)),0)</f>
        <v>0.000380172241435032</v>
      </c>
      <c r="E82" s="8" t="n">
        <f aca="false">C82*$B$16*(1+$B$10)^(A82-$B$14)*D82</f>
        <v>692.439724000151</v>
      </c>
      <c r="F82" s="7" t="n">
        <f aca="false">(1+$B$9)^(-A82)</f>
        <v>0.0161283359528109</v>
      </c>
      <c r="G82" s="8" t="n">
        <f aca="false">E82*F82</f>
        <v>11.1679004957461</v>
      </c>
    </row>
    <row r="83" customFormat="false" ht="15" hidden="false" customHeight="false" outlineLevel="0" collapsed="false">
      <c r="A83" s="0" t="n">
        <v>62</v>
      </c>
      <c r="B83" s="0" t="n">
        <f aca="false">$B$3+A83</f>
        <v>107</v>
      </c>
      <c r="C83" s="0" t="n">
        <f aca="false">IF(AND(A83&gt;=$B$14,B83&lt;=$B$11),1,0)</f>
        <v>1</v>
      </c>
      <c r="D83" s="7" t="n">
        <f aca="false">IFERROR(INDEX('IIAMT 2012-15'!$C$2:$C$98,MATCH(B83,'IIAMT 2012-15'!$A$2:$A$98,0))/INDEX('IIAMT 2012-15'!$C$2:$C$98,MATCH($B$3,'IIAMT 2012-15'!$A$2:$A$98,0)),0)</f>
        <v>0.000146459455151639</v>
      </c>
      <c r="E83" s="8" t="n">
        <f aca="false">C83*$B$16*(1+$B$10)^(A83-$B$14)*D83</f>
        <v>266.758941472438</v>
      </c>
      <c r="F83" s="7" t="n">
        <f aca="false">(1+$B$9)^(-A83)</f>
        <v>0.0150732111708513</v>
      </c>
      <c r="G83" s="8" t="n">
        <f aca="false">E83*F83</f>
        <v>4.02091385652683</v>
      </c>
    </row>
    <row r="84" customFormat="false" ht="15" hidden="false" customHeight="false" outlineLevel="0" collapsed="false">
      <c r="A84" s="0" t="n">
        <v>63</v>
      </c>
      <c r="B84" s="0" t="n">
        <f aca="false">$B$3+A84</f>
        <v>108</v>
      </c>
      <c r="C84" s="0" t="n">
        <f aca="false">IF(AND(A84&gt;=$B$14,B84&lt;=$B$11),1,0)</f>
        <v>1</v>
      </c>
      <c r="D84" s="7" t="n">
        <f aca="false">IFERROR(INDEX('IIAMT 2012-15'!$C$2:$C$98,MATCH(B84,'IIAMT 2012-15'!$A$2:$A$98,0))/INDEX('IIAMT 2012-15'!$C$2:$C$98,MATCH($B$3,'IIAMT 2012-15'!$A$2:$A$98,0)),0)</f>
        <v>5.0183307091523E-005</v>
      </c>
      <c r="E84" s="8" t="n">
        <f aca="false">C84*$B$16*(1+$B$10)^(A84-$B$14)*D84</f>
        <v>91.4030839829407</v>
      </c>
      <c r="F84" s="7" t="n">
        <f aca="false">(1+$B$9)^(-A84)</f>
        <v>0.0140871132437863</v>
      </c>
      <c r="G84" s="8" t="n">
        <f aca="false">E84*F84</f>
        <v>1.28760559489899</v>
      </c>
    </row>
    <row r="85" customFormat="false" ht="15" hidden="false" customHeight="false" outlineLevel="0" collapsed="false">
      <c r="A85" s="0" t="n">
        <v>64</v>
      </c>
      <c r="B85" s="0" t="n">
        <f aca="false">$B$3+A85</f>
        <v>109</v>
      </c>
      <c r="C85" s="0" t="n">
        <f aca="false">IF(AND(A85&gt;=$B$14,B85&lt;=$B$11),1,0)</f>
        <v>1</v>
      </c>
      <c r="D85" s="7" t="n">
        <f aca="false">IFERROR(INDEX('IIAMT 2012-15'!$C$2:$C$98,MATCH(B85,'IIAMT 2012-15'!$A$2:$A$98,0))/INDEX('IIAMT 2012-15'!$C$2:$C$98,MATCH($B$3,'IIAMT 2012-15'!$A$2:$A$98,0)),0)</f>
        <v>1.50331623888721E-005</v>
      </c>
      <c r="E85" s="8" t="n">
        <f aca="false">C85*$B$16*(1+$B$10)^(A85-$B$14)*D85</f>
        <v>27.3811648533496</v>
      </c>
      <c r="F85" s="7" t="n">
        <f aca="false">(1+$B$9)^(-A85)</f>
        <v>0.0131655263960619</v>
      </c>
      <c r="G85" s="8" t="n">
        <f aca="false">E85*F85</f>
        <v>0.360487448631698</v>
      </c>
    </row>
    <row r="86" customFormat="false" ht="15" hidden="false" customHeight="false" outlineLevel="0" collapsed="false">
      <c r="A86" s="0" t="n">
        <v>65</v>
      </c>
      <c r="B86" s="0" t="n">
        <f aca="false">$B$3+A86</f>
        <v>110</v>
      </c>
      <c r="C86" s="0" t="n">
        <f aca="false">IF(AND(A86&gt;=$B$14,B86&lt;=$B$11),1,0)</f>
        <v>1</v>
      </c>
      <c r="D86" s="7" t="n">
        <f aca="false">IFERROR(INDEX('IIAMT 2012-15'!$C$2:$C$98,MATCH(B86,'IIAMT 2012-15'!$A$2:$A$98,0))/INDEX('IIAMT 2012-15'!$C$2:$C$98,MATCH($B$3,'IIAMT 2012-15'!$A$2:$A$98,0)),0)</f>
        <v>3.8520674641998E-006</v>
      </c>
      <c r="E86" s="8" t="n">
        <f aca="false">C86*$B$16*(1+$B$10)^(A86-$B$14)*D86</f>
        <v>7.0160949196926</v>
      </c>
      <c r="F86" s="7" t="n">
        <f aca="false">(1+$B$9)^(-A86)</f>
        <v>0.0123042302766934</v>
      </c>
      <c r="G86" s="8" t="n">
        <f aca="false">E86*F86</f>
        <v>0.0863276475350364</v>
      </c>
    </row>
    <row r="87" customFormat="false" ht="15" hidden="false" customHeight="false" outlineLevel="0" collapsed="false">
      <c r="A87" s="0" t="n">
        <v>66</v>
      </c>
      <c r="B87" s="0" t="n">
        <f aca="false">$B$3+A87</f>
        <v>111</v>
      </c>
      <c r="C87" s="0" t="n">
        <f aca="false">IF(AND(A87&gt;=$B$14,B87&lt;=$B$11),1,0)</f>
        <v>1</v>
      </c>
      <c r="D87" s="7" t="n">
        <f aca="false">IFERROR(INDEX('IIAMT 2012-15'!$C$2:$C$98,MATCH(B87,'IIAMT 2012-15'!$A$2:$A$98,0))/INDEX('IIAMT 2012-15'!$C$2:$C$98,MATCH($B$3,'IIAMT 2012-15'!$A$2:$A$98,0)),0)</f>
        <v>8.19966488699427E-007</v>
      </c>
      <c r="E87" s="8" t="n">
        <f aca="false">C87*$B$16*(1+$B$10)^(A87-$B$14)*D87</f>
        <v>1.49347402898545</v>
      </c>
      <c r="F87" s="7" t="n">
        <f aca="false">(1+$B$9)^(-A87)</f>
        <v>0.0114992806324237</v>
      </c>
      <c r="G87" s="8" t="n">
        <f aca="false">E87*F87</f>
        <v>0.0171738769765402</v>
      </c>
    </row>
    <row r="88" customFormat="false" ht="15" hidden="false" customHeight="false" outlineLevel="0" collapsed="false">
      <c r="A88" s="0" t="n">
        <v>67</v>
      </c>
      <c r="B88" s="0" t="n">
        <f aca="false">$B$3+A88</f>
        <v>112</v>
      </c>
      <c r="C88" s="0" t="n">
        <f aca="false">IF(AND(A88&gt;=$B$14,B88&lt;=$B$11),1,0)</f>
        <v>1</v>
      </c>
      <c r="D88" s="7" t="n">
        <f aca="false">IFERROR(INDEX('IIAMT 2012-15'!$C$2:$C$98,MATCH(B88,'IIAMT 2012-15'!$A$2:$A$98,0))/INDEX('IIAMT 2012-15'!$C$2:$C$98,MATCH($B$3,'IIAMT 2012-15'!$A$2:$A$98,0)),0)</f>
        <v>1.39081075880219E-007</v>
      </c>
      <c r="E88" s="8" t="n">
        <f aca="false">C88*$B$16*(1+$B$10)^(A88-$B$14)*D88</f>
        <v>0.253320077848453</v>
      </c>
      <c r="F88" s="7" t="n">
        <f aca="false">(1+$B$9)^(-A88)</f>
        <v>0.0107469912452558</v>
      </c>
      <c r="G88" s="8" t="n">
        <f aca="false">E88*F88</f>
        <v>0.00272242865888485</v>
      </c>
    </row>
    <row r="89" customFormat="false" ht="15" hidden="false" customHeight="false" outlineLevel="0" collapsed="false">
      <c r="A89" s="0" t="n">
        <v>68</v>
      </c>
      <c r="B89" s="0" t="n">
        <f aca="false">$B$3+A89</f>
        <v>113</v>
      </c>
      <c r="C89" s="0" t="n">
        <f aca="false">IF(AND(A89&gt;=$B$14,B89&lt;=$B$11),1,0)</f>
        <v>1</v>
      </c>
      <c r="D89" s="7" t="n">
        <f aca="false">IFERROR(INDEX('IIAMT 2012-15'!$C$2:$C$98,MATCH(B89,'IIAMT 2012-15'!$A$2:$A$98,0))/INDEX('IIAMT 2012-15'!$C$2:$C$98,MATCH($B$3,'IIAMT 2012-15'!$A$2:$A$98,0)),0)</f>
        <v>1.76126711251675E-008</v>
      </c>
      <c r="E89" s="8" t="n">
        <f aca="false">C89*$B$16*(1+$B$10)^(A89-$B$14)*D89</f>
        <v>0.0320794413784167</v>
      </c>
      <c r="F89" s="7" t="n">
        <f aca="false">(1+$B$9)^(-A89)</f>
        <v>0.010043917051641</v>
      </c>
      <c r="G89" s="8" t="n">
        <f aca="false">E89*F89</f>
        <v>0.000322203248267796</v>
      </c>
    </row>
    <row r="90" customFormat="false" ht="15" hidden="false" customHeight="false" outlineLevel="0" collapsed="false">
      <c r="A90" s="0" t="n">
        <v>69</v>
      </c>
      <c r="B90" s="0" t="n">
        <f aca="false">$B$3+A90</f>
        <v>114</v>
      </c>
      <c r="C90" s="0" t="n">
        <f aca="false">IF(AND(A90&gt;=$B$14,B90&lt;=$B$11),1,0)</f>
        <v>1</v>
      </c>
      <c r="D90" s="7" t="n">
        <f aca="false">IFERROR(INDEX('IIAMT 2012-15'!$C$2:$C$98,MATCH(B90,'IIAMT 2012-15'!$A$2:$A$98,0))/INDEX('IIAMT 2012-15'!$C$2:$C$98,MATCH($B$3,'IIAMT 2012-15'!$A$2:$A$98,0)),0)</f>
        <v>1.47969333923869E-009</v>
      </c>
      <c r="E90" s="8" t="n">
        <f aca="false">C90*$B$16*(1+$B$10)^(A90-$B$14)*D90</f>
        <v>0.00269509010852493</v>
      </c>
      <c r="F90" s="7" t="n">
        <f aca="false">(1+$B$9)^(-A90)</f>
        <v>0.00938683836601959</v>
      </c>
      <c r="G90" s="8" t="n">
        <f aca="false">E90*F90</f>
        <v>2.52983752305817E-005</v>
      </c>
    </row>
    <row r="91" customFormat="false" ht="15" hidden="false" customHeight="false" outlineLevel="0" collapsed="false">
      <c r="A91" s="0" t="n">
        <v>70</v>
      </c>
      <c r="B91" s="0" t="n">
        <f aca="false">$B$3+A91</f>
        <v>115</v>
      </c>
      <c r="C91" s="0" t="n">
        <f aca="false">IF(AND(A91&gt;=$B$14,B91&lt;=$B$11),1,0)</f>
        <v>1</v>
      </c>
      <c r="D91" s="7" t="n">
        <f aca="false">IFERROR(INDEX('IIAMT 2012-15'!$C$2:$C$98,MATCH(B91,'IIAMT 2012-15'!$A$2:$A$98,0))/INDEX('IIAMT 2012-15'!$C$2:$C$98,MATCH($B$3,'IIAMT 2012-15'!$A$2:$A$98,0)),0)</f>
        <v>6.18541409668559E-011</v>
      </c>
      <c r="E91" s="8" t="n">
        <f aca="false">C91*$B$16*(1+$B$10)^(A91-$B$14)*D91</f>
        <v>0.000112660156716559</v>
      </c>
      <c r="F91" s="7" t="n">
        <f aca="false">(1+$B$9)^(-A91)</f>
        <v>0.0087727461364669</v>
      </c>
      <c r="G91" s="8" t="n">
        <f aca="false">E91*F91</f>
        <v>9.88338954568948E-007</v>
      </c>
    </row>
    <row r="92" customFormat="false" ht="15" hidden="false" customHeight="false" outlineLevel="0" collapsed="false">
      <c r="A92" s="0" t="n">
        <v>71</v>
      </c>
      <c r="B92" s="0" t="n">
        <f aca="false">$B$3+A92</f>
        <v>116</v>
      </c>
      <c r="C92" s="0" t="n">
        <f aca="false">IF(AND(A92&gt;=$B$14,B92&lt;=$B$11),1,0)</f>
        <v>0</v>
      </c>
      <c r="D92" s="7" t="n">
        <f aca="false">IFERROR(INDEX('IIAMT 2012-15'!$C$2:$C$98,MATCH(B92,'IIAMT 2012-15'!$A$2:$A$98,0))/INDEX('IIAMT 2012-15'!$C$2:$C$98,MATCH($B$3,'IIAMT 2012-15'!$A$2:$A$98,0)),0)</f>
        <v>6.18541409665744E-016</v>
      </c>
      <c r="E92" s="8" t="n">
        <f aca="false">C92*$B$16*(1+$B$10)^(A92-$B$14)*D92</f>
        <v>0</v>
      </c>
      <c r="F92" s="7" t="n">
        <f aca="false">(1+$B$9)^(-A92)</f>
        <v>0.00819882816492234</v>
      </c>
      <c r="G92" s="8" t="n">
        <f aca="false">E92*F92</f>
        <v>0</v>
      </c>
    </row>
    <row r="93" customFormat="false" ht="15" hidden="false" customHeight="false" outlineLevel="0" collapsed="false">
      <c r="A93" s="0" t="n">
        <v>72</v>
      </c>
      <c r="B93" s="0" t="n">
        <f aca="false">$B$3+A93</f>
        <v>117</v>
      </c>
      <c r="C93" s="0" t="n">
        <f aca="false">IF(AND(A93&gt;=$B$14,B93&lt;=$B$11),1,0)</f>
        <v>0</v>
      </c>
      <c r="D93" s="7" t="n">
        <f aca="false">IFERROR(INDEX('IIAMT 2012-15'!$C$2:$C$98,MATCH(B93,'IIAMT 2012-15'!$A$2:$A$98,0))/INDEX('IIAMT 2012-15'!$C$2:$C$98,MATCH($B$3,'IIAMT 2012-15'!$A$2:$A$98,0)),0)</f>
        <v>0</v>
      </c>
      <c r="E93" s="8" t="n">
        <f aca="false">C93*$B$16*(1+$B$10)^(A93-$B$14)*D93</f>
        <v>0</v>
      </c>
      <c r="F93" s="7" t="n">
        <f aca="false">(1+$B$9)^(-A93)</f>
        <v>0.00766245622889938</v>
      </c>
      <c r="G93" s="8" t="n">
        <f aca="false">E93*F93</f>
        <v>0</v>
      </c>
    </row>
    <row r="94" customFormat="false" ht="15" hidden="false" customHeight="false" outlineLevel="0" collapsed="false">
      <c r="A94" s="0" t="n">
        <v>73</v>
      </c>
      <c r="B94" s="0" t="n">
        <f aca="false">$B$3+A94</f>
        <v>118</v>
      </c>
      <c r="C94" s="0" t="n">
        <f aca="false">IF(AND(A94&gt;=$B$14,B94&lt;=$B$11),1,0)</f>
        <v>0</v>
      </c>
      <c r="D94" s="7" t="n">
        <f aca="false">IFERROR(INDEX('IIAMT 2012-15'!$C$2:$C$98,MATCH(B94,'IIAMT 2012-15'!$A$2:$A$98,0))/INDEX('IIAMT 2012-15'!$C$2:$C$98,MATCH($B$3,'IIAMT 2012-15'!$A$2:$A$98,0)),0)</f>
        <v>0</v>
      </c>
      <c r="E94" s="8" t="n">
        <f aca="false">C94*$B$16*(1+$B$10)^(A94-$B$14)*D94</f>
        <v>0</v>
      </c>
      <c r="F94" s="7" t="n">
        <f aca="false">(1+$B$9)^(-A94)</f>
        <v>0.00716117404570036</v>
      </c>
      <c r="G94" s="8" t="n">
        <f aca="false">E94*F94</f>
        <v>0</v>
      </c>
    </row>
    <row r="95" customFormat="false" ht="15" hidden="false" customHeight="false" outlineLevel="0" collapsed="false">
      <c r="A95" s="0" t="n">
        <v>74</v>
      </c>
      <c r="B95" s="0" t="n">
        <f aca="false">$B$3+A95</f>
        <v>119</v>
      </c>
      <c r="C95" s="0" t="n">
        <f aca="false">IF(AND(A95&gt;=$B$14,B95&lt;=$B$11),1,0)</f>
        <v>0</v>
      </c>
      <c r="D95" s="7" t="n">
        <f aca="false">IFERROR(INDEX('IIAMT 2012-15'!$C$2:$C$98,MATCH(B95,'IIAMT 2012-15'!$A$2:$A$98,0))/INDEX('IIAMT 2012-15'!$C$2:$C$98,MATCH($B$3,'IIAMT 2012-15'!$A$2:$A$98,0)),0)</f>
        <v>0</v>
      </c>
      <c r="E95" s="8" t="n">
        <f aca="false">C95*$B$16*(1+$B$10)^(A95-$B$14)*D95</f>
        <v>0</v>
      </c>
      <c r="F95" s="7" t="n">
        <f aca="false">(1+$B$9)^(-A95)</f>
        <v>0.00669268602401902</v>
      </c>
      <c r="G95" s="8" t="n">
        <f aca="false">E95*F95</f>
        <v>0</v>
      </c>
    </row>
    <row r="96" customFormat="false" ht="15" hidden="false" customHeight="false" outlineLevel="0" collapsed="false">
      <c r="A96" s="0" t="n">
        <v>75</v>
      </c>
      <c r="B96" s="0" t="n">
        <f aca="false">$B$3+A96</f>
        <v>120</v>
      </c>
      <c r="C96" s="0" t="n">
        <f aca="false">IF(AND(A96&gt;=$B$14,B96&lt;=$B$11),1,0)</f>
        <v>0</v>
      </c>
      <c r="D96" s="7" t="n">
        <f aca="false">IFERROR(INDEX('IIAMT 2012-15'!$C$2:$C$98,MATCH(B96,'IIAMT 2012-15'!$A$2:$A$98,0))/INDEX('IIAMT 2012-15'!$C$2:$C$98,MATCH($B$3,'IIAMT 2012-15'!$A$2:$A$98,0)),0)</f>
        <v>0</v>
      </c>
      <c r="E96" s="8" t="n">
        <f aca="false">C96*$B$16*(1+$B$10)^(A96-$B$14)*D96</f>
        <v>0</v>
      </c>
      <c r="F96" s="7" t="n">
        <f aca="false">(1+$B$9)^(-A96)</f>
        <v>0.00625484675141965</v>
      </c>
      <c r="G96" s="8" t="n">
        <f aca="false">E96*F96</f>
        <v>0</v>
      </c>
    </row>
    <row r="97" customFormat="false" ht="15" hidden="false" customHeight="false" outlineLevel="0" collapsed="false">
      <c r="A97" s="0" t="n">
        <v>76</v>
      </c>
      <c r="B97" s="0" t="n">
        <f aca="false">$B$3+A97</f>
        <v>121</v>
      </c>
      <c r="C97" s="0" t="n">
        <f aca="false">IF(AND(A97&gt;=$B$14,B97&lt;=$B$11),1,0)</f>
        <v>0</v>
      </c>
      <c r="D97" s="7" t="n">
        <f aca="false">IFERROR(INDEX('IIAMT 2012-15'!$C$2:$C$98,MATCH(B97,'IIAMT 2012-15'!$A$2:$A$98,0))/INDEX('IIAMT 2012-15'!$C$2:$C$98,MATCH($B$3,'IIAMT 2012-15'!$A$2:$A$98,0)),0)</f>
        <v>0</v>
      </c>
      <c r="E97" s="8" t="n">
        <f aca="false">C97*$B$16*(1+$B$10)^(A97-$B$14)*D97</f>
        <v>0</v>
      </c>
      <c r="F97" s="7" t="n">
        <f aca="false">(1+$B$9)^(-A97)</f>
        <v>0.00584565116955107</v>
      </c>
      <c r="G97" s="8" t="n">
        <f aca="false">E97*F97</f>
        <v>0</v>
      </c>
    </row>
    <row r="98" customFormat="false" ht="15" hidden="false" customHeight="false" outlineLevel="0" collapsed="false">
      <c r="A98" s="0" t="n">
        <v>77</v>
      </c>
      <c r="B98" s="0" t="n">
        <f aca="false">$B$3+A98</f>
        <v>122</v>
      </c>
      <c r="C98" s="0" t="n">
        <f aca="false">IF(AND(A98&gt;=$B$14,B98&lt;=$B$11),1,0)</f>
        <v>0</v>
      </c>
      <c r="D98" s="7" t="n">
        <f aca="false">IFERROR(INDEX('IIAMT 2012-15'!$C$2:$C$98,MATCH(B98,'IIAMT 2012-15'!$A$2:$A$98,0))/INDEX('IIAMT 2012-15'!$C$2:$C$98,MATCH($B$3,'IIAMT 2012-15'!$A$2:$A$98,0)),0)</f>
        <v>0</v>
      </c>
      <c r="E98" s="8" t="n">
        <f aca="false">C98*$B$16*(1+$B$10)^(A98-$B$14)*D98</f>
        <v>0</v>
      </c>
      <c r="F98" s="7" t="n">
        <f aca="false">(1+$B$9)^(-A98)</f>
        <v>0.00546322539210381</v>
      </c>
      <c r="G98" s="8" t="n">
        <f aca="false">E98*F98</f>
        <v>0</v>
      </c>
    </row>
    <row r="99" customFormat="false" ht="15" hidden="false" customHeight="false" outlineLevel="0" collapsed="false">
      <c r="A99" s="0" t="n">
        <v>78</v>
      </c>
      <c r="B99" s="0" t="n">
        <f aca="false">$B$3+A99</f>
        <v>123</v>
      </c>
      <c r="C99" s="0" t="n">
        <f aca="false">IF(AND(A99&gt;=$B$14,B99&lt;=$B$11),1,0)</f>
        <v>0</v>
      </c>
      <c r="D99" s="7" t="n">
        <f aca="false">IFERROR(INDEX('IIAMT 2012-15'!$C$2:$C$98,MATCH(B99,'IIAMT 2012-15'!$A$2:$A$98,0))/INDEX('IIAMT 2012-15'!$C$2:$C$98,MATCH($B$3,'IIAMT 2012-15'!$A$2:$A$98,0)),0)</f>
        <v>0</v>
      </c>
      <c r="E99" s="8" t="n">
        <f aca="false">C99*$B$16*(1+$B$10)^(A99-$B$14)*D99</f>
        <v>0</v>
      </c>
      <c r="F99" s="7" t="n">
        <f aca="false">(1+$B$9)^(-A99)</f>
        <v>0.0051058181234615</v>
      </c>
      <c r="G99" s="8" t="n">
        <f aca="false">E99*F99</f>
        <v>0</v>
      </c>
    </row>
    <row r="100" customFormat="false" ht="15" hidden="false" customHeight="false" outlineLevel="0" collapsed="false">
      <c r="A100" s="0" t="n">
        <v>79</v>
      </c>
      <c r="B100" s="0" t="n">
        <f aca="false">$B$3+A100</f>
        <v>124</v>
      </c>
      <c r="C100" s="0" t="n">
        <f aca="false">IF(AND(A100&gt;=$B$14,B100&lt;=$B$11),1,0)</f>
        <v>0</v>
      </c>
      <c r="D100" s="7" t="n">
        <f aca="false">IFERROR(INDEX('IIAMT 2012-15'!$C$2:$C$98,MATCH(B100,'IIAMT 2012-15'!$A$2:$A$98,0))/INDEX('IIAMT 2012-15'!$C$2:$C$98,MATCH($B$3,'IIAMT 2012-15'!$A$2:$A$98,0)),0)</f>
        <v>0</v>
      </c>
      <c r="E100" s="8" t="n">
        <f aca="false">C100*$B$16*(1+$B$10)^(A100-$B$14)*D100</f>
        <v>0</v>
      </c>
      <c r="F100" s="7" t="n">
        <f aca="false">(1+$B$9)^(-A100)</f>
        <v>0.00477179263874907</v>
      </c>
      <c r="G100" s="8" t="n">
        <f aca="false">E100*F100</f>
        <v>0</v>
      </c>
    </row>
    <row r="101" customFormat="false" ht="15" hidden="false" customHeight="false" outlineLevel="0" collapsed="false">
      <c r="A101" s="0" t="n">
        <v>80</v>
      </c>
      <c r="B101" s="0" t="n">
        <f aca="false">$B$3+A101</f>
        <v>125</v>
      </c>
      <c r="C101" s="0" t="n">
        <f aca="false">IF(AND(A101&gt;=$B$14,B101&lt;=$B$11),1,0)</f>
        <v>0</v>
      </c>
      <c r="D101" s="7" t="n">
        <f aca="false">IFERROR(INDEX('IIAMT 2012-15'!$C$2:$C$98,MATCH(B101,'IIAMT 2012-15'!$A$2:$A$98,0))/INDEX('IIAMT 2012-15'!$C$2:$C$98,MATCH($B$3,'IIAMT 2012-15'!$A$2:$A$98,0)),0)</f>
        <v>0</v>
      </c>
      <c r="E101" s="8" t="n">
        <f aca="false">C101*$B$16*(1+$B$10)^(A101-$B$14)*D101</f>
        <v>0</v>
      </c>
      <c r="F101" s="7" t="n">
        <f aca="false">(1+$B$9)^(-A101)</f>
        <v>0.00445961928855053</v>
      </c>
      <c r="G101" s="8" t="n">
        <f aca="false">E101*F101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6"/>
  </cols>
  <sheetData>
    <row r="1" customFormat="false" ht="45" hidden="false" customHeight="true" outlineLevel="0" collapsed="false">
      <c r="A1" s="6" t="s">
        <v>25</v>
      </c>
      <c r="B1" s="6" t="s">
        <v>26</v>
      </c>
      <c r="C1" s="6" t="s">
        <v>27</v>
      </c>
    </row>
    <row r="2" customFormat="false" ht="15" hidden="false" customHeight="false" outlineLevel="0" collapsed="false">
      <c r="A2" s="0" t="n">
        <v>20</v>
      </c>
      <c r="B2" s="9" t="n">
        <v>0.000284</v>
      </c>
      <c r="C2" s="10" t="n">
        <v>1</v>
      </c>
    </row>
    <row r="3" customFormat="false" ht="15" hidden="false" customHeight="false" outlineLevel="0" collapsed="false">
      <c r="A3" s="0" t="n">
        <v>21</v>
      </c>
      <c r="B3" s="9" t="n">
        <v>0.000305</v>
      </c>
      <c r="C3" s="10" t="n">
        <f aca="false">C2*(1-B2)</f>
        <v>0.999716</v>
      </c>
    </row>
    <row r="4" customFormat="false" ht="15" hidden="false" customHeight="false" outlineLevel="0" collapsed="false">
      <c r="A4" s="0" t="n">
        <v>22</v>
      </c>
      <c r="B4" s="9" t="n">
        <v>0.000328</v>
      </c>
      <c r="C4" s="10" t="n">
        <f aca="false">C3*(1-B3)</f>
        <v>0.99941108662</v>
      </c>
    </row>
    <row r="5" customFormat="false" ht="15" hidden="false" customHeight="false" outlineLevel="0" collapsed="false">
      <c r="A5" s="0" t="n">
        <v>23</v>
      </c>
      <c r="B5" s="9" t="n">
        <v>0.000353</v>
      </c>
      <c r="C5" s="10" t="n">
        <f aca="false">C4*(1-B4)</f>
        <v>0.999083279783589</v>
      </c>
    </row>
    <row r="6" customFormat="false" ht="15" hidden="false" customHeight="false" outlineLevel="0" collapsed="false">
      <c r="A6" s="0" t="n">
        <v>24</v>
      </c>
      <c r="B6" s="9" t="n">
        <v>0.000379</v>
      </c>
      <c r="C6" s="10" t="n">
        <f aca="false">C5*(1-B5)</f>
        <v>0.998730603385825</v>
      </c>
    </row>
    <row r="7" customFormat="false" ht="15" hidden="false" customHeight="false" outlineLevel="0" collapsed="false">
      <c r="A7" s="0" t="n">
        <v>25</v>
      </c>
      <c r="B7" s="9" t="n">
        <v>0.000407</v>
      </c>
      <c r="C7" s="10" t="n">
        <f aca="false">C6*(1-B6)</f>
        <v>0.998352084487142</v>
      </c>
    </row>
    <row r="8" customFormat="false" ht="15" hidden="false" customHeight="false" outlineLevel="0" collapsed="false">
      <c r="A8" s="0" t="n">
        <v>26</v>
      </c>
      <c r="B8" s="9" t="n">
        <v>0.000438</v>
      </c>
      <c r="C8" s="10" t="n">
        <f aca="false">C7*(1-B7)</f>
        <v>0.997945755188755</v>
      </c>
    </row>
    <row r="9" customFormat="false" ht="15" hidden="false" customHeight="false" outlineLevel="0" collapsed="false">
      <c r="A9" s="0" t="n">
        <v>27</v>
      </c>
      <c r="B9" s="9" t="n">
        <v>0.000471</v>
      </c>
      <c r="C9" s="10" t="n">
        <f aca="false">C8*(1-B8)</f>
        <v>0.997508654947983</v>
      </c>
    </row>
    <row r="10" customFormat="false" ht="15" hidden="false" customHeight="false" outlineLevel="0" collapsed="false">
      <c r="A10" s="0" t="n">
        <v>28</v>
      </c>
      <c r="B10" s="9" t="n">
        <v>0.000507</v>
      </c>
      <c r="C10" s="10" t="n">
        <f aca="false">C9*(1-B9)</f>
        <v>0.997038828371502</v>
      </c>
    </row>
    <row r="11" customFormat="false" ht="15" hidden="false" customHeight="false" outlineLevel="0" collapsed="false">
      <c r="A11" s="0" t="n">
        <v>29</v>
      </c>
      <c r="B11" s="9" t="n">
        <v>0.000545</v>
      </c>
      <c r="C11" s="10" t="n">
        <f aca="false">C10*(1-B10)</f>
        <v>0.996533329685518</v>
      </c>
    </row>
    <row r="12" customFormat="false" ht="15" hidden="false" customHeight="false" outlineLevel="0" collapsed="false">
      <c r="A12" s="0" t="n">
        <v>30</v>
      </c>
      <c r="B12" s="9" t="n">
        <v>0.000586</v>
      </c>
      <c r="C12" s="10" t="n">
        <f aca="false">C11*(1-B11)</f>
        <v>0.995990219020839</v>
      </c>
    </row>
    <row r="13" customFormat="false" ht="15" hidden="false" customHeight="false" outlineLevel="0" collapsed="false">
      <c r="A13" s="0" t="n">
        <v>31</v>
      </c>
      <c r="B13" s="9" t="n">
        <v>0.000631</v>
      </c>
      <c r="C13" s="10" t="n">
        <f aca="false">C12*(1-B12)</f>
        <v>0.995406568752493</v>
      </c>
    </row>
    <row r="14" customFormat="false" ht="15" hidden="false" customHeight="false" outlineLevel="0" collapsed="false">
      <c r="A14" s="0" t="n">
        <v>32</v>
      </c>
      <c r="B14" s="9" t="n">
        <v>0.000679</v>
      </c>
      <c r="C14" s="10" t="n">
        <f aca="false">C13*(1-B13)</f>
        <v>0.99477846720761</v>
      </c>
    </row>
    <row r="15" customFormat="false" ht="15" hidden="false" customHeight="false" outlineLevel="0" collapsed="false">
      <c r="A15" s="0" t="n">
        <v>33</v>
      </c>
      <c r="B15" s="9" t="n">
        <v>0.000731</v>
      </c>
      <c r="C15" s="10" t="n">
        <f aca="false">C14*(1-B14)</f>
        <v>0.994103012628376</v>
      </c>
    </row>
    <row r="16" customFormat="false" ht="15" hidden="false" customHeight="false" outlineLevel="0" collapsed="false">
      <c r="A16" s="0" t="n">
        <v>34</v>
      </c>
      <c r="B16" s="9" t="n">
        <v>0.000787</v>
      </c>
      <c r="C16" s="10" t="n">
        <f aca="false">C15*(1-B15)</f>
        <v>0.993376323326145</v>
      </c>
    </row>
    <row r="17" customFormat="false" ht="15" hidden="false" customHeight="false" outlineLevel="0" collapsed="false">
      <c r="A17" s="0" t="n">
        <v>35</v>
      </c>
      <c r="B17" s="9" t="n">
        <v>0.000847</v>
      </c>
      <c r="C17" s="10" t="n">
        <f aca="false">C16*(1-B16)</f>
        <v>0.992594536159687</v>
      </c>
    </row>
    <row r="18" customFormat="false" ht="15" hidden="false" customHeight="false" outlineLevel="0" collapsed="false">
      <c r="A18" s="0" t="n">
        <v>36</v>
      </c>
      <c r="B18" s="9" t="n">
        <v>0.000913</v>
      </c>
      <c r="C18" s="10" t="n">
        <f aca="false">C17*(1-B17)</f>
        <v>0.99175380858756</v>
      </c>
    </row>
    <row r="19" customFormat="false" ht="15" hidden="false" customHeight="false" outlineLevel="0" collapsed="false">
      <c r="A19" s="0" t="n">
        <v>37</v>
      </c>
      <c r="B19" s="9" t="n">
        <v>0.000984</v>
      </c>
      <c r="C19" s="10" t="n">
        <f aca="false">C18*(1-B18)</f>
        <v>0.990848337360319</v>
      </c>
    </row>
    <row r="20" customFormat="false" ht="15" hidden="false" customHeight="false" outlineLevel="0" collapsed="false">
      <c r="A20" s="0" t="n">
        <v>38</v>
      </c>
      <c r="B20" s="9" t="n">
        <v>0.001061</v>
      </c>
      <c r="C20" s="10" t="n">
        <f aca="false">C19*(1-B19)</f>
        <v>0.989873342596357</v>
      </c>
    </row>
    <row r="21" customFormat="false" ht="15" hidden="false" customHeight="false" outlineLevel="0" collapsed="false">
      <c r="A21" s="0" t="n">
        <v>39</v>
      </c>
      <c r="B21" s="9" t="n">
        <v>0.001144</v>
      </c>
      <c r="C21" s="10" t="n">
        <f aca="false">C20*(1-B20)</f>
        <v>0.988823086979862</v>
      </c>
    </row>
    <row r="22" customFormat="false" ht="15" hidden="false" customHeight="false" outlineLevel="0" collapsed="false">
      <c r="A22" s="0" t="n">
        <v>40</v>
      </c>
      <c r="B22" s="9" t="n">
        <v>0.001234</v>
      </c>
      <c r="C22" s="10" t="n">
        <f aca="false">C21*(1-B21)</f>
        <v>0.987691873368357</v>
      </c>
    </row>
    <row r="23" customFormat="false" ht="15" hidden="false" customHeight="false" outlineLevel="0" collapsed="false">
      <c r="A23" s="0" t="n">
        <v>41</v>
      </c>
      <c r="B23" s="9" t="n">
        <v>0.001332</v>
      </c>
      <c r="C23" s="10" t="n">
        <f aca="false">C22*(1-B22)</f>
        <v>0.986473061596621</v>
      </c>
    </row>
    <row r="24" customFormat="false" ht="15" hidden="false" customHeight="false" outlineLevel="0" collapsed="false">
      <c r="A24" s="0" t="n">
        <v>42</v>
      </c>
      <c r="B24" s="9" t="n">
        <v>0.001438</v>
      </c>
      <c r="C24" s="10" t="n">
        <f aca="false">C23*(1-B23)</f>
        <v>0.985159079478574</v>
      </c>
    </row>
    <row r="25" customFormat="false" ht="15" hidden="false" customHeight="false" outlineLevel="0" collapsed="false">
      <c r="A25" s="0" t="n">
        <v>43</v>
      </c>
      <c r="B25" s="9" t="n">
        <v>0.001553</v>
      </c>
      <c r="C25" s="10" t="n">
        <f aca="false">C24*(1-B24)</f>
        <v>0.983742420722284</v>
      </c>
    </row>
    <row r="26" customFormat="false" ht="15" hidden="false" customHeight="false" outlineLevel="0" collapsed="false">
      <c r="A26" s="0" t="n">
        <v>44</v>
      </c>
      <c r="B26" s="9" t="n">
        <v>0.001679</v>
      </c>
      <c r="C26" s="10" t="n">
        <f aca="false">C25*(1-B25)</f>
        <v>0.982214668742902</v>
      </c>
    </row>
    <row r="27" customFormat="false" ht="15" hidden="false" customHeight="false" outlineLevel="0" collapsed="false">
      <c r="A27" s="0" t="n">
        <v>45</v>
      </c>
      <c r="B27" s="9" t="n">
        <v>0.001815</v>
      </c>
      <c r="C27" s="10" t="n">
        <f aca="false">C26*(1-B26)</f>
        <v>0.980565530314083</v>
      </c>
    </row>
    <row r="28" customFormat="false" ht="15" hidden="false" customHeight="false" outlineLevel="0" collapsed="false">
      <c r="A28" s="0" t="n">
        <v>46</v>
      </c>
      <c r="B28" s="9" t="n">
        <v>0.001964</v>
      </c>
      <c r="C28" s="10" t="n">
        <f aca="false">C27*(1-B27)</f>
        <v>0.978785803876562</v>
      </c>
    </row>
    <row r="29" customFormat="false" ht="15" hidden="false" customHeight="false" outlineLevel="0" collapsed="false">
      <c r="A29" s="0" t="n">
        <v>47</v>
      </c>
      <c r="B29" s="9" t="n">
        <v>0.002125</v>
      </c>
      <c r="C29" s="10" t="n">
        <f aca="false">C28*(1-B28)</f>
        <v>0.976863468557749</v>
      </c>
    </row>
    <row r="30" customFormat="false" ht="15" hidden="false" customHeight="false" outlineLevel="0" collapsed="false">
      <c r="A30" s="0" t="n">
        <v>48</v>
      </c>
      <c r="B30" s="9" t="n">
        <v>0.002302</v>
      </c>
      <c r="C30" s="10" t="n">
        <f aca="false">C29*(1-B29)</f>
        <v>0.974787633687064</v>
      </c>
    </row>
    <row r="31" customFormat="false" ht="15" hidden="false" customHeight="false" outlineLevel="0" collapsed="false">
      <c r="A31" s="0" t="n">
        <v>49</v>
      </c>
      <c r="B31" s="9" t="n">
        <v>0.002495</v>
      </c>
      <c r="C31" s="10" t="n">
        <f aca="false">C30*(1-B30)</f>
        <v>0.972543672554316</v>
      </c>
    </row>
    <row r="32" customFormat="false" ht="15" hidden="false" customHeight="false" outlineLevel="0" collapsed="false">
      <c r="A32" s="0" t="n">
        <v>50</v>
      </c>
      <c r="B32" s="9" t="n">
        <v>0.002705</v>
      </c>
      <c r="C32" s="10" t="n">
        <f aca="false">C31*(1-B31)</f>
        <v>0.970117176091293</v>
      </c>
    </row>
    <row r="33" customFormat="false" ht="15" hidden="false" customHeight="false" outlineLevel="0" collapsed="false">
      <c r="A33" s="0" t="n">
        <v>51</v>
      </c>
      <c r="B33" s="9" t="n">
        <v>0.002936</v>
      </c>
      <c r="C33" s="10" t="n">
        <f aca="false">C32*(1-B32)</f>
        <v>0.967493009129966</v>
      </c>
    </row>
    <row r="34" customFormat="false" ht="15" hidden="false" customHeight="false" outlineLevel="0" collapsed="false">
      <c r="A34" s="0" t="n">
        <v>52</v>
      </c>
      <c r="B34" s="9" t="n">
        <v>0.003188</v>
      </c>
      <c r="C34" s="10" t="n">
        <f aca="false">C33*(1-B33)</f>
        <v>0.96465244965516</v>
      </c>
    </row>
    <row r="35" customFormat="false" ht="15" hidden="false" customHeight="false" outlineLevel="0" collapsed="false">
      <c r="A35" s="0" t="n">
        <v>53</v>
      </c>
      <c r="B35" s="9" t="n">
        <v>0.003464</v>
      </c>
      <c r="C35" s="10" t="n">
        <f aca="false">C34*(1-B34)</f>
        <v>0.96157713764566</v>
      </c>
    </row>
    <row r="36" customFormat="false" ht="15" hidden="false" customHeight="false" outlineLevel="0" collapsed="false">
      <c r="A36" s="0" t="n">
        <v>54</v>
      </c>
      <c r="B36" s="9" t="n">
        <v>0.003768</v>
      </c>
      <c r="C36" s="10" t="n">
        <f aca="false">C35*(1-B35)</f>
        <v>0.958246234440855</v>
      </c>
    </row>
    <row r="37" customFormat="false" ht="15" hidden="false" customHeight="false" outlineLevel="0" collapsed="false">
      <c r="A37" s="0" t="n">
        <v>55</v>
      </c>
      <c r="B37" s="9" t="n">
        <v>0.004101</v>
      </c>
      <c r="C37" s="10" t="n">
        <f aca="false">C36*(1-B36)</f>
        <v>0.954635562629482</v>
      </c>
    </row>
    <row r="38" customFormat="false" ht="15" hidden="false" customHeight="false" outlineLevel="0" collapsed="false">
      <c r="A38" s="0" t="n">
        <v>56</v>
      </c>
      <c r="B38" s="9" t="n">
        <v>0.004468</v>
      </c>
      <c r="C38" s="10" t="n">
        <f aca="false">C37*(1-B37)</f>
        <v>0.950720602187139</v>
      </c>
    </row>
    <row r="39" customFormat="false" ht="15" hidden="false" customHeight="false" outlineLevel="0" collapsed="false">
      <c r="A39" s="0" t="n">
        <v>57</v>
      </c>
      <c r="B39" s="9" t="n">
        <v>0.004871</v>
      </c>
      <c r="C39" s="10" t="n">
        <f aca="false">C38*(1-B38)</f>
        <v>0.946472782536566</v>
      </c>
    </row>
    <row r="40" customFormat="false" ht="15" hidden="false" customHeight="false" outlineLevel="0" collapsed="false">
      <c r="A40" s="0" t="n">
        <v>58</v>
      </c>
      <c r="B40" s="9" t="n">
        <v>0.005316</v>
      </c>
      <c r="C40" s="10" t="n">
        <f aca="false">C39*(1-B39)</f>
        <v>0.941862513612831</v>
      </c>
    </row>
    <row r="41" customFormat="false" ht="15" hidden="false" customHeight="false" outlineLevel="0" collapsed="false">
      <c r="A41" s="0" t="n">
        <v>59</v>
      </c>
      <c r="B41" s="9" t="n">
        <v>0.005807</v>
      </c>
      <c r="C41" s="10" t="n">
        <f aca="false">C40*(1-B40)</f>
        <v>0.936855572490465</v>
      </c>
    </row>
    <row r="42" customFormat="false" ht="15" hidden="false" customHeight="false" outlineLevel="0" collapsed="false">
      <c r="A42" s="0" t="n">
        <v>60</v>
      </c>
      <c r="B42" s="9" t="n">
        <v>0.006349</v>
      </c>
      <c r="C42" s="10" t="n">
        <f aca="false">C41*(1-B41)</f>
        <v>0.931415252181013</v>
      </c>
    </row>
    <row r="43" customFormat="false" ht="15" hidden="false" customHeight="false" outlineLevel="0" collapsed="false">
      <c r="A43" s="0" t="n">
        <v>61</v>
      </c>
      <c r="B43" s="9" t="n">
        <v>0.006948</v>
      </c>
      <c r="C43" s="10" t="n">
        <f aca="false">C42*(1-B42)</f>
        <v>0.925501696744915</v>
      </c>
    </row>
    <row r="44" customFormat="false" ht="15" hidden="false" customHeight="false" outlineLevel="0" collapsed="false">
      <c r="A44" s="0" t="n">
        <v>62</v>
      </c>
      <c r="B44" s="9" t="n">
        <v>0.007612</v>
      </c>
      <c r="C44" s="10" t="n">
        <f aca="false">C43*(1-B43)</f>
        <v>0.919071310955932</v>
      </c>
    </row>
    <row r="45" customFormat="false" ht="15" hidden="false" customHeight="false" outlineLevel="0" collapsed="false">
      <c r="A45" s="0" t="n">
        <v>63</v>
      </c>
      <c r="B45" s="9" t="n">
        <v>0.008347</v>
      </c>
      <c r="C45" s="10" t="n">
        <f aca="false">C44*(1-B44)</f>
        <v>0.912075340136935</v>
      </c>
    </row>
    <row r="46" customFormat="false" ht="15" hidden="false" customHeight="false" outlineLevel="0" collapsed="false">
      <c r="A46" s="0" t="n">
        <v>64</v>
      </c>
      <c r="B46" s="9" t="n">
        <v>0.009163</v>
      </c>
      <c r="C46" s="10" t="n">
        <f aca="false">C45*(1-B45)</f>
        <v>0.904462247272812</v>
      </c>
    </row>
    <row r="47" customFormat="false" ht="15" hidden="false" customHeight="false" outlineLevel="0" collapsed="false">
      <c r="A47" s="0" t="n">
        <v>65</v>
      </c>
      <c r="B47" s="9" t="n">
        <v>0.01007</v>
      </c>
      <c r="C47" s="10" t="n">
        <f aca="false">C46*(1-B46)</f>
        <v>0.896174659701052</v>
      </c>
    </row>
    <row r="48" customFormat="false" ht="15" hidden="false" customHeight="false" outlineLevel="0" collapsed="false">
      <c r="A48" s="0" t="n">
        <v>66</v>
      </c>
      <c r="B48" s="9" t="n">
        <v>0.011077</v>
      </c>
      <c r="C48" s="10" t="n">
        <f aca="false">C47*(1-B47)</f>
        <v>0.887150180877862</v>
      </c>
    </row>
    <row r="49" customFormat="false" ht="15" hidden="false" customHeight="false" outlineLevel="0" collapsed="false">
      <c r="A49" s="0" t="n">
        <v>67</v>
      </c>
      <c r="B49" s="9" t="n">
        <v>0.012198</v>
      </c>
      <c r="C49" s="10" t="n">
        <f aca="false">C48*(1-B48)</f>
        <v>0.877323218324278</v>
      </c>
    </row>
    <row r="50" customFormat="false" ht="15" hidden="false" customHeight="false" outlineLevel="0" collapsed="false">
      <c r="A50" s="0" t="n">
        <v>68</v>
      </c>
      <c r="B50" s="9" t="n">
        <v>0.013447</v>
      </c>
      <c r="C50" s="10" t="n">
        <f aca="false">C49*(1-B49)</f>
        <v>0.866621629707158</v>
      </c>
    </row>
    <row r="51" customFormat="false" ht="15" hidden="false" customHeight="false" outlineLevel="0" collapsed="false">
      <c r="A51" s="0" t="n">
        <v>69</v>
      </c>
      <c r="B51" s="9" t="n">
        <v>0.01484</v>
      </c>
      <c r="C51" s="10" t="n">
        <f aca="false">C50*(1-B50)</f>
        <v>0.854968168652486</v>
      </c>
    </row>
    <row r="52" customFormat="false" ht="15" hidden="false" customHeight="false" outlineLevel="0" collapsed="false">
      <c r="A52" s="0" t="n">
        <v>70</v>
      </c>
      <c r="B52" s="9" t="n">
        <v>0.016393</v>
      </c>
      <c r="C52" s="10" t="n">
        <f aca="false">C51*(1-B51)</f>
        <v>0.842280441029683</v>
      </c>
    </row>
    <row r="53" customFormat="false" ht="15" hidden="false" customHeight="false" outlineLevel="0" collapsed="false">
      <c r="A53" s="0" t="n">
        <v>71</v>
      </c>
      <c r="B53" s="9" t="n">
        <v>0.018128</v>
      </c>
      <c r="C53" s="10" t="n">
        <f aca="false">C52*(1-B52)</f>
        <v>0.828472937759884</v>
      </c>
    </row>
    <row r="54" customFormat="false" ht="15" hidden="false" customHeight="false" outlineLevel="0" collapsed="false">
      <c r="A54" s="0" t="n">
        <v>72</v>
      </c>
      <c r="B54" s="9" t="n">
        <v>0.020067</v>
      </c>
      <c r="C54" s="10" t="n">
        <f aca="false">C53*(1-B53)</f>
        <v>0.813454380344172</v>
      </c>
    </row>
    <row r="55" customFormat="false" ht="15" hidden="false" customHeight="false" outlineLevel="0" collapsed="false">
      <c r="A55" s="0" t="n">
        <v>73</v>
      </c>
      <c r="B55" s="9" t="n">
        <v>0.022236</v>
      </c>
      <c r="C55" s="10" t="n">
        <f aca="false">C54*(1-B54)</f>
        <v>0.797130791293806</v>
      </c>
    </row>
    <row r="56" customFormat="false" ht="15" hidden="false" customHeight="false" outlineLevel="0" collapsed="false">
      <c r="A56" s="0" t="n">
        <v>74</v>
      </c>
      <c r="B56" s="9" t="n">
        <v>0.024662</v>
      </c>
      <c r="C56" s="10" t="n">
        <f aca="false">C55*(1-B55)</f>
        <v>0.779405791018597</v>
      </c>
    </row>
    <row r="57" customFormat="false" ht="15" hidden="false" customHeight="false" outlineLevel="0" collapsed="false">
      <c r="A57" s="0" t="n">
        <v>75</v>
      </c>
      <c r="B57" s="9" t="n">
        <v>0.027379</v>
      </c>
      <c r="C57" s="10" t="n">
        <f aca="false">C56*(1-B56)</f>
        <v>0.760184085400496</v>
      </c>
    </row>
    <row r="58" customFormat="false" ht="15" hidden="false" customHeight="false" outlineLevel="0" collapsed="false">
      <c r="A58" s="0" t="n">
        <v>76</v>
      </c>
      <c r="B58" s="9" t="n">
        <v>0.030422</v>
      </c>
      <c r="C58" s="10" t="n">
        <f aca="false">C57*(1-B57)</f>
        <v>0.739371005326316</v>
      </c>
    </row>
    <row r="59" customFormat="false" ht="15" hidden="false" customHeight="false" outlineLevel="0" collapsed="false">
      <c r="A59" s="0" t="n">
        <v>77</v>
      </c>
      <c r="B59" s="9" t="n">
        <v>0.03383</v>
      </c>
      <c r="C59" s="10" t="n">
        <f aca="false">C58*(1-B58)</f>
        <v>0.716877860602279</v>
      </c>
    </row>
    <row r="60" customFormat="false" ht="15" hidden="false" customHeight="false" outlineLevel="0" collapsed="false">
      <c r="A60" s="0" t="n">
        <v>78</v>
      </c>
      <c r="B60" s="9" t="n">
        <v>0.037651</v>
      </c>
      <c r="C60" s="10" t="n">
        <f aca="false">C59*(1-B59)</f>
        <v>0.692625882578104</v>
      </c>
    </row>
    <row r="61" customFormat="false" ht="15" hidden="false" customHeight="false" outlineLevel="0" collapsed="false">
      <c r="A61" s="0" t="n">
        <v>79</v>
      </c>
      <c r="B61" s="9" t="n">
        <v>0.041932</v>
      </c>
      <c r="C61" s="10" t="n">
        <f aca="false">C60*(1-B60)</f>
        <v>0.666547825473156</v>
      </c>
    </row>
    <row r="62" customFormat="false" ht="15" hidden="false" customHeight="false" outlineLevel="0" collapsed="false">
      <c r="A62" s="0" t="n">
        <v>80</v>
      </c>
      <c r="B62" s="9" t="n">
        <v>0.04673</v>
      </c>
      <c r="C62" s="10" t="n">
        <f aca="false">C61*(1-B61)</f>
        <v>0.638598142055415</v>
      </c>
    </row>
    <row r="63" customFormat="false" ht="15" hidden="false" customHeight="false" outlineLevel="0" collapsed="false">
      <c r="A63" s="0" t="n">
        <v>81</v>
      </c>
      <c r="B63" s="9" t="n">
        <v>0.052106</v>
      </c>
      <c r="C63" s="10" t="n">
        <f aca="false">C62*(1-B62)</f>
        <v>0.608756450877166</v>
      </c>
    </row>
    <row r="64" customFormat="false" ht="15" hidden="false" customHeight="false" outlineLevel="0" collapsed="false">
      <c r="A64" s="0" t="n">
        <v>82</v>
      </c>
      <c r="B64" s="9" t="n">
        <v>0.058127</v>
      </c>
      <c r="C64" s="10" t="n">
        <f aca="false">C63*(1-B63)</f>
        <v>0.57703658724776</v>
      </c>
    </row>
    <row r="65" customFormat="false" ht="15" hidden="false" customHeight="false" outlineLevel="0" collapsed="false">
      <c r="A65" s="0" t="n">
        <v>83</v>
      </c>
      <c r="B65" s="9" t="n">
        <v>0.064868</v>
      </c>
      <c r="C65" s="10" t="n">
        <f aca="false">C64*(1-B64)</f>
        <v>0.54349518154081</v>
      </c>
    </row>
    <row r="66" customFormat="false" ht="15" hidden="false" customHeight="false" outlineLevel="0" collapsed="false">
      <c r="A66" s="0" t="n">
        <v>84</v>
      </c>
      <c r="B66" s="9" t="n">
        <v>0.07241</v>
      </c>
      <c r="C66" s="10" t="n">
        <f aca="false">C65*(1-B65)</f>
        <v>0.50823973610462</v>
      </c>
    </row>
    <row r="67" customFormat="false" ht="15" hidden="false" customHeight="false" outlineLevel="0" collapsed="false">
      <c r="A67" s="0" t="n">
        <v>85</v>
      </c>
      <c r="B67" s="9" t="n">
        <v>0.08084</v>
      </c>
      <c r="C67" s="10" t="n">
        <f aca="false">C66*(1-B66)</f>
        <v>0.471438096813285</v>
      </c>
    </row>
    <row r="68" customFormat="false" ht="15" hidden="false" customHeight="false" outlineLevel="0" collapsed="false">
      <c r="A68" s="0" t="n">
        <v>86</v>
      </c>
      <c r="B68" s="9" t="n">
        <v>0.090252</v>
      </c>
      <c r="C68" s="10" t="n">
        <f aca="false">C67*(1-B67)</f>
        <v>0.433327041066899</v>
      </c>
    </row>
    <row r="69" customFormat="false" ht="15" hidden="false" customHeight="false" outlineLevel="0" collapsed="false">
      <c r="A69" s="0" t="n">
        <v>87</v>
      </c>
      <c r="B69" s="9" t="n">
        <v>0.100746</v>
      </c>
      <c r="C69" s="10" t="n">
        <f aca="false">C68*(1-B68)</f>
        <v>0.394218408956529</v>
      </c>
    </row>
    <row r="70" customFormat="false" ht="15" hidden="false" customHeight="false" outlineLevel="0" collapsed="false">
      <c r="A70" s="0" t="n">
        <v>88</v>
      </c>
      <c r="B70" s="9" t="n">
        <v>0.112428</v>
      </c>
      <c r="C70" s="10" t="n">
        <f aca="false">C69*(1-B69)</f>
        <v>0.354502481127795</v>
      </c>
    </row>
    <row r="71" customFormat="false" ht="15" hidden="false" customHeight="false" outlineLevel="0" collapsed="false">
      <c r="A71" s="0" t="n">
        <v>89</v>
      </c>
      <c r="B71" s="9" t="n">
        <v>0.125408</v>
      </c>
      <c r="C71" s="10" t="n">
        <f aca="false">C70*(1-B70)</f>
        <v>0.314646476179559</v>
      </c>
    </row>
    <row r="72" customFormat="false" ht="15" hidden="false" customHeight="false" outlineLevel="0" collapsed="false">
      <c r="A72" s="0" t="n">
        <v>90</v>
      </c>
      <c r="B72" s="9" t="n">
        <v>0.139798</v>
      </c>
      <c r="C72" s="10" t="n">
        <f aca="false">C71*(1-B71)</f>
        <v>0.275187290894833</v>
      </c>
    </row>
    <row r="73" customFormat="false" ht="15" hidden="false" customHeight="false" outlineLevel="0" collapsed="false">
      <c r="A73" s="0" t="n">
        <v>91</v>
      </c>
      <c r="B73" s="9" t="n">
        <v>0.155712</v>
      </c>
      <c r="C73" s="10" t="n">
        <f aca="false">C72*(1-B72)</f>
        <v>0.236716658002317</v>
      </c>
    </row>
    <row r="74" customFormat="false" ht="15" hidden="false" customHeight="false" outlineLevel="0" collapsed="false">
      <c r="A74" s="0" t="n">
        <v>92</v>
      </c>
      <c r="B74" s="9" t="n">
        <v>0.17326</v>
      </c>
      <c r="C74" s="10" t="n">
        <f aca="false">C73*(1-B73)</f>
        <v>0.19985703375146</v>
      </c>
    </row>
    <row r="75" customFormat="false" ht="15" hidden="false" customHeight="false" outlineLevel="0" collapsed="false">
      <c r="A75" s="0" t="n">
        <v>93</v>
      </c>
      <c r="B75" s="9" t="n">
        <v>0.192548</v>
      </c>
      <c r="C75" s="10" t="n">
        <f aca="false">C74*(1-B74)</f>
        <v>0.165229804083682</v>
      </c>
    </row>
    <row r="76" customFormat="false" ht="15" hidden="false" customHeight="false" outlineLevel="0" collapsed="false">
      <c r="A76" s="0" t="n">
        <v>94</v>
      </c>
      <c r="B76" s="9" t="n">
        <v>0.213673</v>
      </c>
      <c r="C76" s="10" t="n">
        <f aca="false">C75*(1-B75)</f>
        <v>0.133415135766977</v>
      </c>
    </row>
    <row r="77" customFormat="false" ht="15" hidden="false" customHeight="false" outlineLevel="0" collapsed="false">
      <c r="A77" s="0" t="n">
        <v>95</v>
      </c>
      <c r="B77" s="9" t="n">
        <v>0.236719</v>
      </c>
      <c r="C77" s="10" t="n">
        <f aca="false">C76*(1-B76)</f>
        <v>0.10490792346224</v>
      </c>
    </row>
    <row r="78" customFormat="false" ht="15" hidden="false" customHeight="false" outlineLevel="0" collapsed="false">
      <c r="A78" s="0" t="n">
        <v>96</v>
      </c>
      <c r="B78" s="9" t="n">
        <v>0.261749</v>
      </c>
      <c r="C78" s="10" t="n">
        <f aca="false">C77*(1-B77)</f>
        <v>0.080074224728182</v>
      </c>
    </row>
    <row r="79" customFormat="false" ht="15" hidden="false" customHeight="false" outlineLevel="0" collapsed="false">
      <c r="A79" s="0" t="n">
        <v>97</v>
      </c>
      <c r="B79" s="9" t="n">
        <v>0.288807</v>
      </c>
      <c r="C79" s="10" t="n">
        <f aca="false">C78*(1-B78)</f>
        <v>0.0591148764798051</v>
      </c>
    </row>
    <row r="80" customFormat="false" ht="15" hidden="false" customHeight="false" outlineLevel="0" collapsed="false">
      <c r="A80" s="0" t="n">
        <v>98</v>
      </c>
      <c r="B80" s="9" t="n">
        <v>0.317906</v>
      </c>
      <c r="C80" s="10" t="n">
        <f aca="false">C79*(1-B79)</f>
        <v>0.042042086348302</v>
      </c>
    </row>
    <row r="81" customFormat="false" ht="15" hidden="false" customHeight="false" outlineLevel="0" collapsed="false">
      <c r="A81" s="0" t="n">
        <v>99</v>
      </c>
      <c r="B81" s="9" t="n">
        <v>0.349031</v>
      </c>
      <c r="C81" s="10" t="n">
        <f aca="false">C80*(1-B80)</f>
        <v>0.0286766548456587</v>
      </c>
    </row>
    <row r="82" customFormat="false" ht="15" hidden="false" customHeight="false" outlineLevel="0" collapsed="false">
      <c r="A82" s="0" t="n">
        <v>100</v>
      </c>
      <c r="B82" s="9" t="n">
        <v>0.382129</v>
      </c>
      <c r="C82" s="10" t="n">
        <f aca="false">C81*(1-B81)</f>
        <v>0.0186676133282236</v>
      </c>
    </row>
    <row r="83" customFormat="false" ht="15" hidden="false" customHeight="false" outlineLevel="0" collapsed="false">
      <c r="A83" s="0" t="n">
        <v>101</v>
      </c>
      <c r="B83" s="9" t="n">
        <v>0.417111</v>
      </c>
      <c r="C83" s="10" t="n">
        <f aca="false">C82*(1-B82)</f>
        <v>0.0115341769147229</v>
      </c>
    </row>
    <row r="84" customFormat="false" ht="15" hidden="false" customHeight="false" outlineLevel="0" collapsed="false">
      <c r="A84" s="0" t="n">
        <v>102</v>
      </c>
      <c r="B84" s="9" t="n">
        <v>0.453851</v>
      </c>
      <c r="C84" s="10" t="n">
        <f aca="false">C83*(1-B83)</f>
        <v>0.00672314484764589</v>
      </c>
    </row>
    <row r="85" customFormat="false" ht="15" hidden="false" customHeight="false" outlineLevel="0" collapsed="false">
      <c r="A85" s="0" t="n">
        <v>103</v>
      </c>
      <c r="B85" s="9" t="n">
        <v>0.49219</v>
      </c>
      <c r="C85" s="10" t="n">
        <f aca="false">C84*(1-B84)</f>
        <v>0.00367183883539695</v>
      </c>
    </row>
    <row r="86" customFormat="false" ht="15" hidden="false" customHeight="false" outlineLevel="0" collapsed="false">
      <c r="A86" s="0" t="n">
        <v>104</v>
      </c>
      <c r="B86" s="9" t="n">
        <v>0.531933</v>
      </c>
      <c r="C86" s="10" t="n">
        <f aca="false">C85*(1-B85)</f>
        <v>0.00186459647900293</v>
      </c>
    </row>
    <row r="87" customFormat="false" ht="15" hidden="false" customHeight="false" outlineLevel="0" collapsed="false">
      <c r="A87" s="0" t="n">
        <v>105</v>
      </c>
      <c r="B87" s="9" t="n">
        <v>0.572866</v>
      </c>
      <c r="C87" s="10" t="n">
        <f aca="false">C86*(1-B86)</f>
        <v>0.000872756080137463</v>
      </c>
    </row>
    <row r="88" customFormat="false" ht="15" hidden="false" customHeight="false" outlineLevel="0" collapsed="false">
      <c r="A88" s="0" t="n">
        <v>106</v>
      </c>
      <c r="B88" s="9" t="n">
        <v>0.614755</v>
      </c>
      <c r="C88" s="10" t="n">
        <f aca="false">C87*(1-B87)</f>
        <v>0.000372783795533435</v>
      </c>
    </row>
    <row r="89" customFormat="false" ht="15" hidden="false" customHeight="false" outlineLevel="0" collapsed="false">
      <c r="A89" s="0" t="n">
        <v>107</v>
      </c>
      <c r="B89" s="9" t="n">
        <v>0.657357</v>
      </c>
      <c r="C89" s="10" t="n">
        <f aca="false">C88*(1-B88)</f>
        <v>0.000143613093310278</v>
      </c>
    </row>
    <row r="90" customFormat="false" ht="15" hidden="false" customHeight="false" outlineLevel="0" collapsed="false">
      <c r="A90" s="0" t="n">
        <v>108</v>
      </c>
      <c r="B90" s="9" t="n">
        <v>0.700435</v>
      </c>
      <c r="C90" s="10" t="n">
        <f aca="false">C89*(1-B89)</f>
        <v>4.92080211311137E-005</v>
      </c>
    </row>
    <row r="91" customFormat="false" ht="15" hidden="false" customHeight="false" outlineLevel="0" collapsed="false">
      <c r="A91" s="0" t="n">
        <v>109</v>
      </c>
      <c r="B91" s="9" t="n">
        <v>0.743762</v>
      </c>
      <c r="C91" s="10" t="n">
        <f aca="false">C90*(1-B90)</f>
        <v>1.47410008501421E-005</v>
      </c>
    </row>
    <row r="92" customFormat="false" ht="15" hidden="false" customHeight="false" outlineLevel="0" collapsed="false">
      <c r="A92" s="0" t="n">
        <v>110</v>
      </c>
      <c r="B92" s="9" t="n">
        <v>0.787136</v>
      </c>
      <c r="C92" s="10" t="n">
        <f aca="false">C91*(1-B91)</f>
        <v>3.7772045758387E-006</v>
      </c>
    </row>
    <row r="93" customFormat="false" ht="15" hidden="false" customHeight="false" outlineLevel="0" collapsed="false">
      <c r="A93" s="0" t="n">
        <v>111</v>
      </c>
      <c r="B93" s="9" t="n">
        <v>0.830382</v>
      </c>
      <c r="C93" s="10" t="n">
        <f aca="false">C92*(1-B92)</f>
        <v>8.0403087483133E-007</v>
      </c>
    </row>
    <row r="94" customFormat="false" ht="15" hidden="false" customHeight="false" outlineLevel="0" collapsed="false">
      <c r="A94" s="0" t="n">
        <v>112</v>
      </c>
      <c r="B94" s="9" t="n">
        <v>0.873364</v>
      </c>
      <c r="C94" s="10" t="n">
        <f aca="false">C93*(1-B93)</f>
        <v>1.3637810892714E-007</v>
      </c>
    </row>
    <row r="95" customFormat="false" ht="15" hidden="false" customHeight="false" outlineLevel="0" collapsed="false">
      <c r="A95" s="0" t="n">
        <v>113</v>
      </c>
      <c r="B95" s="9" t="n">
        <v>0.915987</v>
      </c>
      <c r="C95" s="10" t="n">
        <f aca="false">C94*(1-B94)</f>
        <v>1.72703782020974E-008</v>
      </c>
    </row>
    <row r="96" customFormat="false" ht="15" hidden="false" customHeight="false" outlineLevel="0" collapsed="false">
      <c r="A96" s="0" t="n">
        <v>114</v>
      </c>
      <c r="B96" s="9" t="n">
        <v>0.958198</v>
      </c>
      <c r="C96" s="10" t="n">
        <f aca="false">C95*(1-B95)</f>
        <v>1.45093628389281E-009</v>
      </c>
    </row>
    <row r="97" customFormat="false" ht="15" hidden="false" customHeight="false" outlineLevel="0" collapsed="false">
      <c r="A97" s="0" t="n">
        <v>115</v>
      </c>
      <c r="B97" s="9" t="n">
        <v>0.99999</v>
      </c>
      <c r="C97" s="10" t="n">
        <f aca="false">C96*(1-B96)</f>
        <v>6.06520385392871E-011</v>
      </c>
    </row>
    <row r="98" customFormat="false" ht="15" hidden="false" customHeight="false" outlineLevel="0" collapsed="false">
      <c r="A98" s="0" t="n">
        <v>116</v>
      </c>
      <c r="B98" s="10"/>
      <c r="C98" s="10" t="n">
        <f aca="false">C97*(1-B97)</f>
        <v>6.0652038539011E-016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2026-10-08T20:41:25Z</dcterms:created>
  <dc:creator>openpyxl</dc:creator>
  <dc:description/>
  <dc:language>en-US</dc:language>
  <cp:lastModifiedBy/>
  <dcterms:modified xsi:type="dcterms:W3CDTF">2026-10-08T20:41:25Z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